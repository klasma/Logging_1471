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46233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46233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46233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46233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41722-2022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44827</v>
      </c>
      <c r="E10" s="1" t="n">
        <v>46233</v>
      </c>
      <c r="F10" t="inlineStr">
        <is>
          <t>VÄSTRA GÖTALANDS LÄN</t>
        </is>
      </c>
      <c r="G10" t="inlineStr">
        <is>
          <t>GÖTENE</t>
        </is>
      </c>
      <c r="I10" t="n">
        <v>0.4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HYPERLINK("https://klasma.github.io/Logging_1471/artfynd/A 41722-2022 artfynd.xlsx", "A 41722-2022")</f>
        <v/>
      </c>
      <c r="X10">
        <f>HYPERLINK("https://klasma.github.io/Logging_1471/kartor/A 41722-2022 karta.png", "A 41722-2022")</f>
        <v/>
      </c>
      <c r="Y10">
        <f>HYPERLINK("https://klasma.github.io/Logging_1471/kartor_geotiff/A 41722-2022 georefererad karta.tif", "A 41722-2022")</f>
        <v/>
      </c>
      <c r="AA10">
        <f>HYPERLINK("https://klasma.github.io/Logging_1471/klagomål/A 41722-2022 FSC-klagomål.docx", "A 41722-2022")</f>
        <v/>
      </c>
      <c r="AB10">
        <f>HYPERLINK("https://klasma.github.io/Logging_1471/klagomålsmail/A 41722-2022 FSC-klagomål mail.docx", "A 41722-2022")</f>
        <v/>
      </c>
      <c r="AC10">
        <f>HYPERLINK("https://klasma.github.io/Logging_1471/tillsyn/A 41722-2022 tillsynsbegäran.docx", "A 41722-2022")</f>
        <v/>
      </c>
      <c r="AD10">
        <f>HYPERLINK("https://klasma.github.io/Logging_1471/tillsynsmail/A 41722-2022 tillsynsbegäran mail.docx", "A 41722-2022")</f>
        <v/>
      </c>
    </row>
    <row r="11" ht="15" customHeight="1">
      <c r="A11" t="inlineStr">
        <is>
          <t>A 59103-2021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46233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Ängskovall</t>
        </is>
      </c>
      <c r="W11">
        <f>HYPERLINK("https://klasma.github.io/Logging_1471/artfynd/A 59103-2021 artfynd.xlsx", "A 59103-2021")</f>
        <v/>
      </c>
      <c r="X11">
        <f>HYPERLINK("https://klasma.github.io/Logging_1471/kartor/A 59103-2021 karta.png", "A 59103-2021")</f>
        <v/>
      </c>
      <c r="Y11">
        <f>HYPERLINK("https://klasma.github.io/Logging_1471/kartor_geotiff/A 59103-2021 georefererad karta.tif", "A 59103-2021")</f>
        <v/>
      </c>
      <c r="AA11">
        <f>HYPERLINK("https://klasma.github.io/Logging_1471/klagomål/A 59103-2021 FSC-klagomål.docx", "A 59103-2021")</f>
        <v/>
      </c>
      <c r="AB11">
        <f>HYPERLINK("https://klasma.github.io/Logging_1471/klagomålsmail/A 59103-2021 FSC-klagomål mail.docx", "A 59103-2021")</f>
        <v/>
      </c>
      <c r="AC11">
        <f>HYPERLINK("https://klasma.github.io/Logging_1471/tillsyn/A 59103-2021 tillsynsbegäran.docx", "A 59103-2021")</f>
        <v/>
      </c>
      <c r="AD11">
        <f>HYPERLINK("https://klasma.github.io/Logging_1471/tillsynsmail/A 59103-2021 tillsynsbegäran mail.docx", "A 59103-2021")</f>
        <v/>
      </c>
    </row>
    <row r="12" ht="15" customHeight="1">
      <c r="A12" t="inlineStr">
        <is>
          <t>A 5086-2024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45330</v>
      </c>
      <c r="E12" s="1" t="n">
        <v>46233</v>
      </c>
      <c r="F12" t="inlineStr">
        <is>
          <t>VÄSTRA GÖTALANDS LÄN</t>
        </is>
      </c>
      <c r="G12" t="inlineStr">
        <is>
          <t>GÖTENE</t>
        </is>
      </c>
      <c r="I12" t="n">
        <v>4.5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t="n">
        <v>1</v>
      </c>
      <c r="V12" s="2" t="inlineStr">
        <is>
          <t>Strävlosta</t>
        </is>
      </c>
      <c r="W12">
        <f>HYPERLINK("https://klasma.github.io/Logging_1471/artfynd/A 5086-2024 artfynd.xlsx", "A 5086-2024")</f>
        <v/>
      </c>
      <c r="X12">
        <f>HYPERLINK("https://klasma.github.io/Logging_1471/kartor/A 5086-2024 karta.png", "A 5086-2024")</f>
        <v/>
      </c>
      <c r="Y12">
        <f>HYPERLINK("https://klasma.github.io/Logging_1471/kartor_geotiff/A 5086-2024 georefererad karta.tif", "A 5086-2024")</f>
        <v/>
      </c>
      <c r="AA12">
        <f>HYPERLINK("https://klasma.github.io/Logging_1471/klagomål/A 5086-2024 FSC-klagomål.docx", "A 5086-2024")</f>
        <v/>
      </c>
      <c r="AB12">
        <f>HYPERLINK("https://klasma.github.io/Logging_1471/klagomålsmail/A 5086-2024 FSC-klagomål mail.docx", "A 5086-2024")</f>
        <v/>
      </c>
      <c r="AC12">
        <f>HYPERLINK("https://klasma.github.io/Logging_1471/tillsyn/A 5086-2024 tillsynsbegäran.docx", "A 5086-2024")</f>
        <v/>
      </c>
      <c r="AD12">
        <f>HYPERLINK("https://klasma.github.io/Logging_1471/tillsynsmail/A 5086-2024 tillsynsbegäran mail.docx", "A 5086-2024")</f>
        <v/>
      </c>
    </row>
    <row r="13" ht="15" customHeight="1">
      <c r="A13" t="inlineStr">
        <is>
          <t>A 28273-2023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46233</v>
      </c>
      <c r="F13" t="inlineStr">
        <is>
          <t>VÄSTRA GÖTALANDS LÄN</t>
        </is>
      </c>
      <c r="G13" t="inlineStr">
        <is>
          <t>GÖTENE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Åkergroda</t>
        </is>
      </c>
      <c r="W13">
        <f>HYPERLINK("https://klasma.github.io/Logging_1471/artfynd/A 28273-2023 artfynd.xlsx", "A 28273-2023")</f>
        <v/>
      </c>
      <c r="X13">
        <f>HYPERLINK("https://klasma.github.io/Logging_1471/kartor/A 28273-2023 karta.png", "A 28273-2023")</f>
        <v/>
      </c>
      <c r="Y13">
        <f>HYPERLINK("https://klasma.github.io/Logging_1471/kartor_geotiff/A 28273-2023 georefererad karta.tif", "A 28273-2023")</f>
        <v/>
      </c>
      <c r="AA13">
        <f>HYPERLINK("https://klasma.github.io/Logging_1471/klagomål/A 28273-2023 FSC-klagomål.docx", "A 28273-2023")</f>
        <v/>
      </c>
      <c r="AB13">
        <f>HYPERLINK("https://klasma.github.io/Logging_1471/klagomålsmail/A 28273-2023 FSC-klagomål mail.docx", "A 28273-2023")</f>
        <v/>
      </c>
      <c r="AC13">
        <f>HYPERLINK("https://klasma.github.io/Logging_1471/tillsyn/A 28273-2023 tillsynsbegäran.docx", "A 28273-2023")</f>
        <v/>
      </c>
      <c r="AD13">
        <f>HYPERLINK("https://klasma.github.io/Logging_1471/tillsynsmail/A 28273-2023 tillsynsbegäran mail.docx", "A 28273-2023")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46233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46233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46233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46233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46233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46233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46233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46233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46233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46233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S 840-2024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45372</v>
      </c>
      <c r="E24" s="1" t="n">
        <v>46233</v>
      </c>
      <c r="F24" t="inlineStr">
        <is>
          <t>VÄSTRA GÖTALANDS LÄN</t>
        </is>
      </c>
      <c r="G24" t="inlineStr">
        <is>
          <t>GÖTENE</t>
        </is>
      </c>
      <c r="I24" t="n">
        <v>55.4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Kandelabersvamp</t>
        </is>
      </c>
      <c r="W24">
        <f>HYPERLINK("https://klasma.github.io/Logging_1471/artfynd/S 840-2024 artfynd.xlsx", "S 840-2024")</f>
        <v/>
      </c>
      <c r="X24">
        <f>HYPERLINK("https://klasma.github.io/Logging_1471/kartor/S 840-2024 karta.png", "S 840-2024")</f>
        <v/>
      </c>
      <c r="Y24">
        <f>HYPERLINK("https://klasma.github.io/Logging_1471/kartor_geotiff/S 840-2024 georefererad karta.tif", "S 840-2024")</f>
        <v/>
      </c>
      <c r="AA24">
        <f>HYPERLINK("https://klasma.github.io/Logging_1471/klagomål/S 840-2024 FSC-klagomål.docx", "S 840-2024")</f>
        <v/>
      </c>
      <c r="AB24">
        <f>HYPERLINK("https://klasma.github.io/Logging_1471/klagomålsmail/S 840-2024 FSC-klagomål mail.docx", "S 840-2024")</f>
        <v/>
      </c>
      <c r="AC24">
        <f>HYPERLINK("https://klasma.github.io/Logging_1471/tillsyn/S 840-2024 tillsynsbegäran.docx", "S 840-2024")</f>
        <v/>
      </c>
      <c r="AD24">
        <f>HYPERLINK("https://klasma.github.io/Logging_1471/tillsynsmail/S 840-2024 tillsynsbegäran mail.docx", "S 840-2024")</f>
        <v/>
      </c>
    </row>
    <row r="25" ht="15" customHeight="1">
      <c r="A25" t="inlineStr">
        <is>
          <t>A 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46233</v>
      </c>
      <c r="F25" t="inlineStr">
        <is>
          <t>VÄSTRA GÖTALANDS LÄN</t>
        </is>
      </c>
      <c r="G25" t="inlineStr">
        <is>
          <t>GÖTENE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43345-2021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44432</v>
      </c>
      <c r="E26" s="1" t="n">
        <v>46233</v>
      </c>
      <c r="F26" t="inlineStr">
        <is>
          <t>VÄSTRA GÖTALANDS LÄN</t>
        </is>
      </c>
      <c r="G26" t="inlineStr">
        <is>
          <t>GÖTENE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59086-2021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44490</v>
      </c>
      <c r="E27" s="1" t="n">
        <v>46233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13357-2022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46233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46233</v>
      </c>
      <c r="F29" t="inlineStr">
        <is>
          <t>VÄSTRA GÖTALANDS LÄN</t>
        </is>
      </c>
      <c r="G29" t="inlineStr">
        <is>
          <t>GÖTENE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46233</v>
      </c>
      <c r="F30" t="inlineStr">
        <is>
          <t>VÄSTRA GÖTALANDS LÄN</t>
        </is>
      </c>
      <c r="G30" t="inlineStr">
        <is>
          <t>GÖTENE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46233</v>
      </c>
      <c r="F31" t="inlineStr">
        <is>
          <t>VÄSTRA GÖTALANDS LÄN</t>
        </is>
      </c>
      <c r="G31" t="inlineStr">
        <is>
          <t>GÖTENE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46233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44507</v>
      </c>
      <c r="E33" s="1" t="n">
        <v>46233</v>
      </c>
      <c r="F33" t="inlineStr">
        <is>
          <t>VÄSTRA GÖTALANDS LÄN</t>
        </is>
      </c>
      <c r="G33" t="inlineStr">
        <is>
          <t>GÖTENE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46233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46233</v>
      </c>
      <c r="F35" t="inlineStr">
        <is>
          <t>VÄSTRA GÖTALANDS LÄN</t>
        </is>
      </c>
      <c r="G35" t="inlineStr">
        <is>
          <t>GÖTENE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46233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46233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46233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46233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46233</v>
      </c>
      <c r="F40" t="inlineStr">
        <is>
          <t>VÄSTRA GÖTALANDS LÄN</t>
        </is>
      </c>
      <c r="G40" t="inlineStr">
        <is>
          <t>GÖTENE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44507</v>
      </c>
      <c r="E41" s="1" t="n">
        <v>46233</v>
      </c>
      <c r="F41" t="inlineStr">
        <is>
          <t>VÄSTRA GÖTALANDS LÄN</t>
        </is>
      </c>
      <c r="G41" t="inlineStr">
        <is>
          <t>GÖTENE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46233</v>
      </c>
      <c r="F42" t="inlineStr">
        <is>
          <t>VÄSTRA GÖTALANDS LÄN</t>
        </is>
      </c>
      <c r="G42" t="inlineStr">
        <is>
          <t>GÖTENE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46233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46233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46233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46233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46233</v>
      </c>
      <c r="F47" t="inlineStr">
        <is>
          <t>VÄSTRA GÖTALANDS LÄN</t>
        </is>
      </c>
      <c r="G47" t="inlineStr">
        <is>
          <t>GÖTENE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46233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46233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46233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46233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46233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46233</v>
      </c>
      <c r="F53" t="inlineStr">
        <is>
          <t>VÄSTRA GÖTALANDS LÄN</t>
        </is>
      </c>
      <c r="G53" t="inlineStr">
        <is>
          <t>GÖTENE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36244-2022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46233</v>
      </c>
      <c r="F54" t="inlineStr">
        <is>
          <t>VÄSTRA GÖTALANDS LÄN</t>
        </is>
      </c>
      <c r="G54" t="inlineStr">
        <is>
          <t>GÖTENE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46233</v>
      </c>
      <c r="F55" t="inlineStr">
        <is>
          <t>VÄSTRA GÖTALANDS LÄN</t>
        </is>
      </c>
      <c r="G55" t="inlineStr">
        <is>
          <t>GÖTENE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46233</v>
      </c>
      <c r="F56" t="inlineStr">
        <is>
          <t>VÄSTRA GÖTALANDS LÄN</t>
        </is>
      </c>
      <c r="G56" t="inlineStr">
        <is>
          <t>GÖTENE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45361</v>
      </c>
      <c r="E57" s="1" t="n">
        <v>46233</v>
      </c>
      <c r="F57" t="inlineStr">
        <is>
          <t>VÄSTRA GÖTALANDS LÄN</t>
        </is>
      </c>
      <c r="G57" t="inlineStr">
        <is>
          <t>GÖTENE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45251</v>
      </c>
      <c r="E58" s="1" t="n">
        <v>46233</v>
      </c>
      <c r="F58" t="inlineStr">
        <is>
          <t>VÄSTRA GÖTALANDS LÄN</t>
        </is>
      </c>
      <c r="G58" t="inlineStr">
        <is>
          <t>GÖTENE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44844</v>
      </c>
      <c r="E59" s="1" t="n">
        <v>46233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Sveaskog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44455</v>
      </c>
      <c r="E60" s="1" t="n">
        <v>46233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Övriga Aktiebolag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46233</v>
      </c>
      <c r="F61" t="inlineStr">
        <is>
          <t>VÄSTRA GÖTALANDS LÄN</t>
        </is>
      </c>
      <c r="G61" t="inlineStr">
        <is>
          <t>GÖTENE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46233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46233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44455</v>
      </c>
      <c r="E64" s="1" t="n">
        <v>46233</v>
      </c>
      <c r="F64" t="inlineStr">
        <is>
          <t>VÄSTRA GÖTALANDS LÄN</t>
        </is>
      </c>
      <c r="G64" t="inlineStr">
        <is>
          <t>GÖTENE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46233</v>
      </c>
      <c r="F65" t="inlineStr">
        <is>
          <t>VÄSTRA GÖTALANDS LÄN</t>
        </is>
      </c>
      <c r="G65" t="inlineStr">
        <is>
          <t>GÖTENE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46233</v>
      </c>
      <c r="F66" t="inlineStr">
        <is>
          <t>VÄSTRA GÖTALANDS LÄN</t>
        </is>
      </c>
      <c r="G66" t="inlineStr">
        <is>
          <t>GÖTENE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46233</v>
      </c>
      <c r="F67" t="inlineStr">
        <is>
          <t>VÄSTRA GÖTALANDS LÄN</t>
        </is>
      </c>
      <c r="G67" t="inlineStr">
        <is>
          <t>GÖTENE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46233</v>
      </c>
      <c r="F68" t="inlineStr">
        <is>
          <t>VÄSTRA GÖTALANDS LÄN</t>
        </is>
      </c>
      <c r="G68" t="inlineStr">
        <is>
          <t>GÖTENE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26105-2025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45805</v>
      </c>
      <c r="E69" s="1" t="n">
        <v>46233</v>
      </c>
      <c r="F69" t="inlineStr">
        <is>
          <t>VÄSTRA GÖTALANDS LÄN</t>
        </is>
      </c>
      <c r="G69" t="inlineStr">
        <is>
          <t>GÖTENE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46233</v>
      </c>
      <c r="F70" t="inlineStr">
        <is>
          <t>VÄSTRA GÖTALANDS LÄN</t>
        </is>
      </c>
      <c r="G70" t="inlineStr">
        <is>
          <t>GÖTENE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46233</v>
      </c>
      <c r="F71" t="inlineStr">
        <is>
          <t>VÄSTRA GÖTALANDS LÄN</t>
        </is>
      </c>
      <c r="G71" t="inlineStr">
        <is>
          <t>GÖTENE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72879-2021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46233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46233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46233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46233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46233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46233</v>
      </c>
      <c r="F77" t="inlineStr">
        <is>
          <t>VÄSTRA GÖTALANDS LÄN</t>
        </is>
      </c>
      <c r="G77" t="inlineStr">
        <is>
          <t>GÖTENE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44587</v>
      </c>
      <c r="E78" s="1" t="n">
        <v>46233</v>
      </c>
      <c r="F78" t="inlineStr">
        <is>
          <t>VÄSTRA GÖTALANDS LÄN</t>
        </is>
      </c>
      <c r="G78" t="inlineStr">
        <is>
          <t>GÖTENE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46233</v>
      </c>
      <c r="F79" t="inlineStr">
        <is>
          <t>VÄSTRA GÖTALANDS LÄN</t>
        </is>
      </c>
      <c r="G79" t="inlineStr">
        <is>
          <t>GÖTENE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58418-2024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45634</v>
      </c>
      <c r="E80" s="1" t="n">
        <v>46233</v>
      </c>
      <c r="F80" t="inlineStr">
        <is>
          <t>VÄSTRA GÖTALANDS LÄN</t>
        </is>
      </c>
      <c r="G80" t="inlineStr">
        <is>
          <t>GÖTENE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46233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46049</v>
      </c>
      <c r="E82" s="1" t="n">
        <v>46233</v>
      </c>
      <c r="F82" t="inlineStr">
        <is>
          <t>VÄSTRA GÖTALANDS LÄN</t>
        </is>
      </c>
      <c r="G82" t="inlineStr">
        <is>
          <t>GÖTENE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45180-2024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46233</v>
      </c>
      <c r="F83" t="inlineStr">
        <is>
          <t>VÄSTRA GÖTALANDS LÄN</t>
        </is>
      </c>
      <c r="G83" t="inlineStr">
        <is>
          <t>GÖTENE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46233</v>
      </c>
      <c r="F84" t="inlineStr">
        <is>
          <t>VÄSTRA GÖTALANDS LÄN</t>
        </is>
      </c>
      <c r="G84" t="inlineStr">
        <is>
          <t>GÖTENE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45152</v>
      </c>
      <c r="E85" s="1" t="n">
        <v>46233</v>
      </c>
      <c r="F85" t="inlineStr">
        <is>
          <t>VÄSTRA GÖTALANDS LÄN</t>
        </is>
      </c>
      <c r="G85" t="inlineStr">
        <is>
          <t>GÖTENE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46051</v>
      </c>
      <c r="E86" s="1" t="n">
        <v>46233</v>
      </c>
      <c r="F86" t="inlineStr">
        <is>
          <t>VÄSTRA GÖTALANDS LÄN</t>
        </is>
      </c>
      <c r="G86" t="inlineStr">
        <is>
          <t>GÖTENE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49256-2023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46233</v>
      </c>
      <c r="F87" t="inlineStr">
        <is>
          <t>VÄSTRA GÖTALANDS LÄN</t>
        </is>
      </c>
      <c r="G87" t="inlineStr">
        <is>
          <t>GÖTENE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46233</v>
      </c>
      <c r="F88" t="inlineStr">
        <is>
          <t>VÄSTRA GÖTALANDS LÄN</t>
        </is>
      </c>
      <c r="G88" t="inlineStr">
        <is>
          <t>GÖTENE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46233</v>
      </c>
      <c r="F89" t="inlineStr">
        <is>
          <t>VÄSTRA GÖTALANDS LÄN</t>
        </is>
      </c>
      <c r="G89" t="inlineStr">
        <is>
          <t>GÖTENE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44967</v>
      </c>
      <c r="E90" s="1" t="n">
        <v>46233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46233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46233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46233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46233</v>
      </c>
      <c r="F94" t="inlineStr">
        <is>
          <t>VÄSTRA GÖTALANDS LÄN</t>
        </is>
      </c>
      <c r="G94" t="inlineStr">
        <is>
          <t>GÖTENE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46233</v>
      </c>
      <c r="F95" t="inlineStr">
        <is>
          <t>VÄSTRA GÖTALANDS LÄN</t>
        </is>
      </c>
      <c r="G95" t="inlineStr">
        <is>
          <t>GÖTENE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46233</v>
      </c>
      <c r="F96" t="inlineStr">
        <is>
          <t>VÄSTRA GÖTALANDS LÄN</t>
        </is>
      </c>
      <c r="G96" t="inlineStr">
        <is>
          <t>GÖTENE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46233</v>
      </c>
      <c r="F97" t="inlineStr">
        <is>
          <t>VÄSTRA GÖTALANDS LÄN</t>
        </is>
      </c>
      <c r="G97" t="inlineStr">
        <is>
          <t>GÖTENE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46233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46233</v>
      </c>
      <c r="F99" t="inlineStr">
        <is>
          <t>VÄSTRA GÖTALANDS LÄN</t>
        </is>
      </c>
      <c r="G99" t="inlineStr">
        <is>
          <t>GÖTENE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46233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46233</v>
      </c>
      <c r="F101" t="inlineStr">
        <is>
          <t>VÄSTRA GÖTALANDS LÄN</t>
        </is>
      </c>
      <c r="G101" t="inlineStr">
        <is>
          <t>GÖTENE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45623</v>
      </c>
      <c r="E102" s="1" t="n">
        <v>46233</v>
      </c>
      <c r="F102" t="inlineStr">
        <is>
          <t>VÄSTRA GÖTALANDS LÄN</t>
        </is>
      </c>
      <c r="G102" t="inlineStr">
        <is>
          <t>GÖTENE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46233</v>
      </c>
      <c r="F103" t="inlineStr">
        <is>
          <t>VÄSTRA GÖTALANDS LÄN</t>
        </is>
      </c>
      <c r="G103" t="inlineStr">
        <is>
          <t>GÖTENE</t>
        </is>
      </c>
      <c r="I103" t="n">
        <v>19.7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46233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61294-2024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45645</v>
      </c>
      <c r="E105" s="1" t="n">
        <v>46233</v>
      </c>
      <c r="F105" t="inlineStr">
        <is>
          <t>VÄSTRA GÖTALANDS LÄN</t>
        </is>
      </c>
      <c r="G105" t="inlineStr">
        <is>
          <t>GÖTENE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52141-2025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46233</v>
      </c>
      <c r="F106" t="inlineStr">
        <is>
          <t>VÄSTRA GÖTALANDS LÄN</t>
        </is>
      </c>
      <c r="G106" t="inlineStr">
        <is>
          <t>GÖTENE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12660-2023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45000</v>
      </c>
      <c r="E107" s="1" t="n">
        <v>46233</v>
      </c>
      <c r="F107" t="inlineStr">
        <is>
          <t>VÄSTRA GÖTALANDS LÄN</t>
        </is>
      </c>
      <c r="G107" t="inlineStr">
        <is>
          <t>GÖTENE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46233</v>
      </c>
      <c r="F108" t="inlineStr">
        <is>
          <t>VÄSTRA GÖTALANDS LÄN</t>
        </is>
      </c>
      <c r="G108" t="inlineStr">
        <is>
          <t>GÖTENE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46233</v>
      </c>
      <c r="F109" t="inlineStr">
        <is>
          <t>VÄSTRA GÖTALANDS LÄN</t>
        </is>
      </c>
      <c r="G109" t="inlineStr">
        <is>
          <t>GÖTENE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46233</v>
      </c>
      <c r="F110" t="inlineStr">
        <is>
          <t>VÄSTRA GÖTALANDS LÄN</t>
        </is>
      </c>
      <c r="G110" t="inlineStr">
        <is>
          <t>GÖTENE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45119</v>
      </c>
      <c r="E111" s="1" t="n">
        <v>46233</v>
      </c>
      <c r="F111" t="inlineStr">
        <is>
          <t>VÄSTRA GÖTALANDS LÄN</t>
        </is>
      </c>
      <c r="G111" t="inlineStr">
        <is>
          <t>GÖTENE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46233</v>
      </c>
      <c r="F112" t="inlineStr">
        <is>
          <t>VÄSTRA GÖTALANDS LÄN</t>
        </is>
      </c>
      <c r="G112" t="inlineStr">
        <is>
          <t>GÖTENE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46233</v>
      </c>
      <c r="F113" t="inlineStr">
        <is>
          <t>VÄSTRA GÖTALANDS LÄN</t>
        </is>
      </c>
      <c r="G113" t="inlineStr">
        <is>
          <t>GÖTENE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46233</v>
      </c>
      <c r="F114" t="inlineStr">
        <is>
          <t>VÄSTRA GÖTALANDS LÄN</t>
        </is>
      </c>
      <c r="G114" t="inlineStr">
        <is>
          <t>GÖTENE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46233</v>
      </c>
      <c r="F115" t="inlineStr">
        <is>
          <t>VÄSTRA GÖTALANDS LÄN</t>
        </is>
      </c>
      <c r="G115" t="inlineStr">
        <is>
          <t>GÖTENE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46233</v>
      </c>
      <c r="F116" t="inlineStr">
        <is>
          <t>VÄSTRA GÖTALANDS LÄN</t>
        </is>
      </c>
      <c r="G116" t="inlineStr">
        <is>
          <t>GÖTENE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46233</v>
      </c>
      <c r="F117" t="inlineStr">
        <is>
          <t>VÄSTRA GÖTALANDS LÄN</t>
        </is>
      </c>
      <c r="G117" t="inlineStr">
        <is>
          <t>GÖTENE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46233</v>
      </c>
      <c r="F118" t="inlineStr">
        <is>
          <t>VÄSTRA GÖTALANDS LÄN</t>
        </is>
      </c>
      <c r="G118" t="inlineStr">
        <is>
          <t>GÖTENE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46233</v>
      </c>
      <c r="F119" t="inlineStr">
        <is>
          <t>VÄSTRA GÖTALANDS LÄN</t>
        </is>
      </c>
      <c r="G119" t="inlineStr">
        <is>
          <t>GÖTENE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46233</v>
      </c>
      <c r="F120" t="inlineStr">
        <is>
          <t>VÄSTRA GÖTALANDS LÄN</t>
        </is>
      </c>
      <c r="G120" t="inlineStr">
        <is>
          <t>GÖTENE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46233</v>
      </c>
      <c r="F121" t="inlineStr">
        <is>
          <t>VÄSTRA GÖTALANDS LÄN</t>
        </is>
      </c>
      <c r="G121" t="inlineStr">
        <is>
          <t>GÖTENE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46233</v>
      </c>
      <c r="F122" t="inlineStr">
        <is>
          <t>VÄSTRA GÖTALANDS LÄN</t>
        </is>
      </c>
      <c r="G122" t="inlineStr">
        <is>
          <t>GÖTENE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46233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46233</v>
      </c>
      <c r="F124" t="inlineStr">
        <is>
          <t>VÄSTRA GÖTALANDS LÄN</t>
        </is>
      </c>
      <c r="G124" t="inlineStr">
        <is>
          <t>GÖTENE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46233</v>
      </c>
      <c r="F125" t="inlineStr">
        <is>
          <t>VÄSTRA GÖTALANDS LÄN</t>
        </is>
      </c>
      <c r="G125" t="inlineStr">
        <is>
          <t>GÖTENE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46233</v>
      </c>
      <c r="F126" t="inlineStr">
        <is>
          <t>VÄSTRA GÖTALANDS LÄN</t>
        </is>
      </c>
      <c r="G126" t="inlineStr">
        <is>
          <t>GÖTENE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46233</v>
      </c>
      <c r="F127" t="inlineStr">
        <is>
          <t>VÄSTRA GÖTALANDS LÄN</t>
        </is>
      </c>
      <c r="G127" t="inlineStr">
        <is>
          <t>GÖTENE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46233</v>
      </c>
      <c r="F128" t="inlineStr">
        <is>
          <t>VÄSTRA GÖTALANDS LÄN</t>
        </is>
      </c>
      <c r="G128" t="inlineStr">
        <is>
          <t>GÖTENE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45021</v>
      </c>
      <c r="E129" s="1" t="n">
        <v>46233</v>
      </c>
      <c r="F129" t="inlineStr">
        <is>
          <t>VÄSTRA GÖTALANDS LÄN</t>
        </is>
      </c>
      <c r="G129" t="inlineStr">
        <is>
          <t>GÖTENE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46233</v>
      </c>
      <c r="F130" t="inlineStr">
        <is>
          <t>VÄSTRA GÖTALANDS LÄN</t>
        </is>
      </c>
      <c r="G130" t="inlineStr">
        <is>
          <t>GÖTENE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46083</v>
      </c>
      <c r="E131" s="1" t="n">
        <v>46233</v>
      </c>
      <c r="F131" t="inlineStr">
        <is>
          <t>VÄSTRA GÖTALANDS LÄN</t>
        </is>
      </c>
      <c r="G131" t="inlineStr">
        <is>
          <t>GÖTENE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46083</v>
      </c>
      <c r="E132" s="1" t="n">
        <v>46233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46084</v>
      </c>
      <c r="E133" s="1" t="n">
        <v>46233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Övriga Aktiebolag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46233</v>
      </c>
      <c r="F134" t="inlineStr">
        <is>
          <t>VÄSTRA GÖTALANDS LÄN</t>
        </is>
      </c>
      <c r="G134" t="inlineStr">
        <is>
          <t>GÖTENE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46233</v>
      </c>
      <c r="F135" t="inlineStr">
        <is>
          <t>VÄSTRA GÖTALANDS LÄN</t>
        </is>
      </c>
      <c r="G135" t="inlineStr">
        <is>
          <t>GÖTENE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46233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46233</v>
      </c>
      <c r="F137" t="inlineStr">
        <is>
          <t>VÄSTRA GÖTALANDS LÄN</t>
        </is>
      </c>
      <c r="G137" t="inlineStr">
        <is>
          <t>GÖTENE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44924</v>
      </c>
      <c r="E138" s="1" t="n">
        <v>46233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46233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61021-2022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44914</v>
      </c>
      <c r="E140" s="1" t="n">
        <v>46233</v>
      </c>
      <c r="F140" t="inlineStr">
        <is>
          <t>VÄSTRA GÖTALANDS LÄN</t>
        </is>
      </c>
      <c r="G140" t="inlineStr">
        <is>
          <t>GÖTENE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44931</v>
      </c>
      <c r="E141" s="1" t="n">
        <v>46233</v>
      </c>
      <c r="F141" t="inlineStr">
        <is>
          <t>VÄSTRA GÖTALANDS LÄN</t>
        </is>
      </c>
      <c r="G141" t="inlineStr">
        <is>
          <t>GÖTENE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46233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46233</v>
      </c>
      <c r="F143" t="inlineStr">
        <is>
          <t>VÄSTRA GÖTALANDS LÄN</t>
        </is>
      </c>
      <c r="G143" t="inlineStr">
        <is>
          <t>GÖTENE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46233</v>
      </c>
      <c r="F144" t="inlineStr">
        <is>
          <t>VÄSTRA GÖTALANDS LÄN</t>
        </is>
      </c>
      <c r="G144" t="inlineStr">
        <is>
          <t>GÖTENE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46233</v>
      </c>
      <c r="F145" t="inlineStr">
        <is>
          <t>VÄSTRA GÖTALANDS LÄN</t>
        </is>
      </c>
      <c r="G145" t="inlineStr">
        <is>
          <t>GÖTENE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46233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46233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46233</v>
      </c>
      <c r="F148" t="inlineStr">
        <is>
          <t>VÄSTRA GÖTALANDS LÄN</t>
        </is>
      </c>
      <c r="G148" t="inlineStr">
        <is>
          <t>GÖTENE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46233</v>
      </c>
      <c r="F149" t="inlineStr">
        <is>
          <t>VÄSTRA GÖTALANDS LÄN</t>
        </is>
      </c>
      <c r="G149" t="inlineStr">
        <is>
          <t>GÖTENE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46233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46233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46233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46233</v>
      </c>
      <c r="F153" t="inlineStr">
        <is>
          <t>VÄSTRA GÖTALANDS LÄN</t>
        </is>
      </c>
      <c r="G153" t="inlineStr">
        <is>
          <t>GÖTENE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46233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46233</v>
      </c>
      <c r="F155" t="inlineStr">
        <is>
          <t>VÄSTRA GÖTALANDS LÄN</t>
        </is>
      </c>
      <c r="G155" t="inlineStr">
        <is>
          <t>GÖTENE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44757</v>
      </c>
      <c r="E156" s="1" t="n">
        <v>46233</v>
      </c>
      <c r="F156" t="inlineStr">
        <is>
          <t>VÄSTRA GÖTALANDS LÄN</t>
        </is>
      </c>
      <c r="G156" t="inlineStr">
        <is>
          <t>GÖTENE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45667</v>
      </c>
      <c r="E157" s="1" t="n">
        <v>46233</v>
      </c>
      <c r="F157" t="inlineStr">
        <is>
          <t>VÄSTRA GÖTALANDS LÄN</t>
        </is>
      </c>
      <c r="G157" t="inlineStr">
        <is>
          <t>GÖTENE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46233</v>
      </c>
      <c r="F158" t="inlineStr">
        <is>
          <t>VÄSTRA GÖTALANDS LÄN</t>
        </is>
      </c>
      <c r="G158" t="inlineStr">
        <is>
          <t>GÖTENE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45572</v>
      </c>
      <c r="E159" s="1" t="n">
        <v>46233</v>
      </c>
      <c r="F159" t="inlineStr">
        <is>
          <t>VÄSTRA GÖTALANDS LÄN</t>
        </is>
      </c>
      <c r="G159" t="inlineStr">
        <is>
          <t>GÖTENE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44645</v>
      </c>
      <c r="E160" s="1" t="n">
        <v>46233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46233</v>
      </c>
      <c r="F161" t="inlineStr">
        <is>
          <t>VÄSTRA GÖTALANDS LÄN</t>
        </is>
      </c>
      <c r="G161" t="inlineStr">
        <is>
          <t>GÖTENE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46233</v>
      </c>
      <c r="F162" t="inlineStr">
        <is>
          <t>VÄSTRA GÖTALANDS LÄN</t>
        </is>
      </c>
      <c r="G162" t="inlineStr">
        <is>
          <t>GÖTENE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46233</v>
      </c>
      <c r="F163" t="inlineStr">
        <is>
          <t>VÄSTRA GÖTALANDS LÄN</t>
        </is>
      </c>
      <c r="G163" t="inlineStr">
        <is>
          <t>GÖTENE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45845</v>
      </c>
      <c r="E164" s="1" t="n">
        <v>46233</v>
      </c>
      <c r="F164" t="inlineStr">
        <is>
          <t>VÄSTRA GÖTALANDS LÄN</t>
        </is>
      </c>
      <c r="G164" t="inlineStr">
        <is>
          <t>GÖTENE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46233</v>
      </c>
      <c r="F165" t="inlineStr">
        <is>
          <t>VÄSTRA GÖTALANDS LÄN</t>
        </is>
      </c>
      <c r="G165" t="inlineStr">
        <is>
          <t>GÖTENE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44676</v>
      </c>
      <c r="E166" s="1" t="n">
        <v>46233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46233</v>
      </c>
      <c r="F167" t="inlineStr">
        <is>
          <t>VÄSTRA GÖTALANDS LÄN</t>
        </is>
      </c>
      <c r="G167" t="inlineStr">
        <is>
          <t>GÖTENE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20710-2026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46233</v>
      </c>
      <c r="F168" t="inlineStr">
        <is>
          <t>VÄSTRA GÖTALANDS LÄN</t>
        </is>
      </c>
      <c r="G168" t="inlineStr">
        <is>
          <t>GÖTENE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46233</v>
      </c>
      <c r="F169" t="inlineStr">
        <is>
          <t>VÄSTRA GÖTALANDS LÄN</t>
        </is>
      </c>
      <c r="G169" t="inlineStr">
        <is>
          <t>GÖTENE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45518</v>
      </c>
      <c r="E170" s="1" t="n">
        <v>46233</v>
      </c>
      <c r="F170" t="inlineStr">
        <is>
          <t>VÄSTRA GÖTALANDS LÄN</t>
        </is>
      </c>
      <c r="G170" t="inlineStr">
        <is>
          <t>GÖTENE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46233</v>
      </c>
      <c r="F171" t="inlineStr">
        <is>
          <t>VÄSTRA GÖTALANDS LÄN</t>
        </is>
      </c>
      <c r="G171" t="inlineStr">
        <is>
          <t>GÖTENE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19674-2023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46233</v>
      </c>
      <c r="F172" t="inlineStr">
        <is>
          <t>VÄSTRA GÖTALANDS LÄN</t>
        </is>
      </c>
      <c r="G172" t="inlineStr">
        <is>
          <t>GÖTENE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44645</v>
      </c>
      <c r="E173" s="1" t="n">
        <v>46233</v>
      </c>
      <c r="F173" t="inlineStr">
        <is>
          <t>VÄSTRA GÖTALANDS LÄN</t>
        </is>
      </c>
      <c r="G173" t="inlineStr">
        <is>
          <t>GÖTENE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25594-2025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45803</v>
      </c>
      <c r="E174" s="1" t="n">
        <v>46233</v>
      </c>
      <c r="F174" t="inlineStr">
        <is>
          <t>VÄSTRA GÖTALANDS LÄN</t>
        </is>
      </c>
      <c r="G174" t="inlineStr">
        <is>
          <t>GÖTENE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46233</v>
      </c>
      <c r="F175" t="inlineStr">
        <is>
          <t>VÄSTRA GÖTALANDS LÄN</t>
        </is>
      </c>
      <c r="G175" t="inlineStr">
        <is>
          <t>GÖTENE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46233</v>
      </c>
      <c r="F176" t="inlineStr">
        <is>
          <t>VÄSTRA GÖTALANDS LÄN</t>
        </is>
      </c>
      <c r="G176" t="inlineStr">
        <is>
          <t>GÖTENE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46233</v>
      </c>
      <c r="F177" t="inlineStr">
        <is>
          <t>VÄSTRA GÖTALANDS LÄN</t>
        </is>
      </c>
      <c r="G177" t="inlineStr">
        <is>
          <t>GÖTENE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46233</v>
      </c>
      <c r="F178" t="inlineStr">
        <is>
          <t>VÄSTRA GÖTALANDS LÄN</t>
        </is>
      </c>
      <c r="G178" t="inlineStr">
        <is>
          <t>GÖTENE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46147</v>
      </c>
      <c r="E179" s="1" t="n">
        <v>46233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46233</v>
      </c>
      <c r="F180" t="inlineStr">
        <is>
          <t>VÄSTRA GÖTALANDS LÄN</t>
        </is>
      </c>
      <c r="G180" t="inlineStr">
        <is>
          <t>GÖTENE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46233</v>
      </c>
      <c r="F181" t="inlineStr">
        <is>
          <t>VÄSTRA GÖTALANDS LÄN</t>
        </is>
      </c>
      <c r="G181" t="inlineStr">
        <is>
          <t>GÖTENE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46233</v>
      </c>
      <c r="F182" t="inlineStr">
        <is>
          <t>VÄSTRA GÖTALANDS LÄN</t>
        </is>
      </c>
      <c r="G182" t="inlineStr">
        <is>
          <t>GÖTENE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46233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46233</v>
      </c>
      <c r="F184" t="inlineStr">
        <is>
          <t>VÄSTRA GÖTALANDS LÄN</t>
        </is>
      </c>
      <c r="G184" t="inlineStr">
        <is>
          <t>GÖTENE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44777</v>
      </c>
      <c r="E185" s="1" t="n">
        <v>46233</v>
      </c>
      <c r="F185" t="inlineStr">
        <is>
          <t>VÄSTRA GÖTALANDS LÄN</t>
        </is>
      </c>
      <c r="G185" t="inlineStr">
        <is>
          <t>GÖTENE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46233</v>
      </c>
      <c r="F186" t="inlineStr">
        <is>
          <t>VÄSTRA GÖTALANDS LÄN</t>
        </is>
      </c>
      <c r="G186" t="inlineStr">
        <is>
          <t>GÖTENE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46233</v>
      </c>
      <c r="F187" t="inlineStr">
        <is>
          <t>VÄSTRA GÖTALANDS LÄN</t>
        </is>
      </c>
      <c r="G187" t="inlineStr">
        <is>
          <t>GÖTENE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44638</v>
      </c>
      <c r="E188" s="1" t="n">
        <v>46233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46233</v>
      </c>
      <c r="F189" t="inlineStr">
        <is>
          <t>VÄSTRA GÖTALANDS LÄN</t>
        </is>
      </c>
      <c r="G189" t="inlineStr">
        <is>
          <t>GÖTENE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46160</v>
      </c>
      <c r="E190" s="1" t="n">
        <v>46233</v>
      </c>
      <c r="F190" t="inlineStr">
        <is>
          <t>VÄSTRA GÖTALANDS LÄN</t>
        </is>
      </c>
      <c r="G190" t="inlineStr">
        <is>
          <t>GÖTENE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46233</v>
      </c>
      <c r="F191" t="inlineStr">
        <is>
          <t>VÄSTRA GÖTALANDS LÄN</t>
        </is>
      </c>
      <c r="G191" t="inlineStr">
        <is>
          <t>GÖTENE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39081-2022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46233</v>
      </c>
      <c r="F192" t="inlineStr">
        <is>
          <t>VÄSTRA GÖTALANDS LÄN</t>
        </is>
      </c>
      <c r="G192" t="inlineStr">
        <is>
          <t>GÖTENE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45152</v>
      </c>
      <c r="E193" s="1" t="n">
        <v>46233</v>
      </c>
      <c r="F193" t="inlineStr">
        <is>
          <t>VÄSTRA GÖTALANDS LÄN</t>
        </is>
      </c>
      <c r="G193" t="inlineStr">
        <is>
          <t>GÖTENE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46206</v>
      </c>
      <c r="E194" s="1" t="n">
        <v>46233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46233</v>
      </c>
      <c r="F195" t="inlineStr">
        <is>
          <t>VÄSTRA GÖTALANDS LÄN</t>
        </is>
      </c>
      <c r="G195" t="inlineStr">
        <is>
          <t>GÖTENE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46233</v>
      </c>
      <c r="F196" t="inlineStr">
        <is>
          <t>VÄSTRA GÖTALANDS LÄN</t>
        </is>
      </c>
      <c r="G196" t="inlineStr">
        <is>
          <t>GÖTENE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46233</v>
      </c>
      <c r="F197" t="inlineStr">
        <is>
          <t>VÄSTRA GÖTALANDS LÄN</t>
        </is>
      </c>
      <c r="G197" t="inlineStr">
        <is>
          <t>GÖTENE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46233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Kommuner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39150-2022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46233</v>
      </c>
      <c r="F199" t="inlineStr">
        <is>
          <t>VÄSTRA GÖTALANDS LÄN</t>
        </is>
      </c>
      <c r="G199" t="inlineStr">
        <is>
          <t>GÖTENE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46233</v>
      </c>
      <c r="F200" t="inlineStr">
        <is>
          <t>VÄSTRA GÖTALANDS LÄN</t>
        </is>
      </c>
      <c r="G200" t="inlineStr">
        <is>
          <t>GÖTENE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44628</v>
      </c>
      <c r="E201" s="1" t="n">
        <v>46233</v>
      </c>
      <c r="F201" t="inlineStr">
        <is>
          <t>VÄSTRA GÖTALANDS LÄN</t>
        </is>
      </c>
      <c r="G201" t="inlineStr">
        <is>
          <t>GÖTENE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46233</v>
      </c>
      <c r="F202" t="inlineStr">
        <is>
          <t>VÄSTRA GÖTALANDS LÄN</t>
        </is>
      </c>
      <c r="G202" t="inlineStr">
        <is>
          <t>GÖTENE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46233</v>
      </c>
      <c r="F203" t="inlineStr">
        <is>
          <t>VÄSTRA GÖTALANDS LÄN</t>
        </is>
      </c>
      <c r="G203" t="inlineStr">
        <is>
          <t>GÖTENE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44974</v>
      </c>
      <c r="E204" s="1" t="n">
        <v>46233</v>
      </c>
      <c r="F204" t="inlineStr">
        <is>
          <t>VÄSTRA GÖTALANDS LÄN</t>
        </is>
      </c>
      <c r="G204" t="inlineStr">
        <is>
          <t>GÖTENE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46219</v>
      </c>
      <c r="E205" s="1" t="n">
        <v>46233</v>
      </c>
      <c r="F205" t="inlineStr">
        <is>
          <t>VÄSTRA GÖTALANDS LÄN</t>
        </is>
      </c>
      <c r="G205" t="inlineStr">
        <is>
          <t>GÖTENE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46233</v>
      </c>
      <c r="F206" t="inlineStr">
        <is>
          <t>VÄSTRA GÖTALANDS LÄN</t>
        </is>
      </c>
      <c r="G206" t="inlineStr">
        <is>
          <t>GÖTENE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25777-2026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46178</v>
      </c>
      <c r="E207" s="1" t="n">
        <v>46233</v>
      </c>
      <c r="F207" t="inlineStr">
        <is>
          <t>VÄSTRA GÖTALANDS LÄN</t>
        </is>
      </c>
      <c r="G207" t="inlineStr">
        <is>
          <t>GÖTENE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46233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46233</v>
      </c>
      <c r="F209" t="inlineStr">
        <is>
          <t>VÄSTRA GÖTALANDS LÄN</t>
        </is>
      </c>
      <c r="G209" t="inlineStr">
        <is>
          <t>GÖTENE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46233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46233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46233</v>
      </c>
      <c r="F212" t="inlineStr">
        <is>
          <t>VÄSTRA GÖTALANDS LÄN</t>
        </is>
      </c>
      <c r="G212" t="inlineStr">
        <is>
          <t>GÖTENE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46233</v>
      </c>
      <c r="F213" t="inlineStr">
        <is>
          <t>VÄSTRA GÖTALANDS LÄN</t>
        </is>
      </c>
      <c r="G213" t="inlineStr">
        <is>
          <t>GÖTENE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46233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46233</v>
      </c>
      <c r="F215" t="inlineStr">
        <is>
          <t>VÄSTRA GÖTALANDS LÄN</t>
        </is>
      </c>
      <c r="G215" t="inlineStr">
        <is>
          <t>GÖTENE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46233</v>
      </c>
      <c r="F216" t="inlineStr">
        <is>
          <t>VÄSTRA GÖTALANDS LÄN</t>
        </is>
      </c>
      <c r="G216" t="inlineStr">
        <is>
          <t>GÖTENE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46233</v>
      </c>
      <c r="F217" t="inlineStr">
        <is>
          <t>VÄSTRA GÖTALANDS LÄN</t>
        </is>
      </c>
      <c r="G217" t="inlineStr">
        <is>
          <t>GÖTENE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46233</v>
      </c>
      <c r="F218" t="inlineStr">
        <is>
          <t>VÄSTRA GÖTALANDS LÄN</t>
        </is>
      </c>
      <c r="G218" t="inlineStr">
        <is>
          <t>GÖTENE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46233</v>
      </c>
      <c r="F219" t="inlineStr">
        <is>
          <t>VÄSTRA GÖTALANDS LÄN</t>
        </is>
      </c>
      <c r="G219" t="inlineStr">
        <is>
          <t>GÖTENE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45069</v>
      </c>
      <c r="E220" s="1" t="n">
        <v>46233</v>
      </c>
      <c r="F220" t="inlineStr">
        <is>
          <t>VÄSTRA GÖTALANDS LÄN</t>
        </is>
      </c>
      <c r="G220" t="inlineStr">
        <is>
          <t>GÖTENE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46233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46233</v>
      </c>
      <c r="F222" t="inlineStr">
        <is>
          <t>VÄSTRA GÖTALANDS LÄN</t>
        </is>
      </c>
      <c r="G222" t="inlineStr">
        <is>
          <t>GÖTENE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46233</v>
      </c>
      <c r="F223" t="inlineStr">
        <is>
          <t>VÄSTRA GÖTALANDS LÄN</t>
        </is>
      </c>
      <c r="G223" t="inlineStr">
        <is>
          <t>GÖTENE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46233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45440</v>
      </c>
      <c r="E225" s="1" t="n">
        <v>46233</v>
      </c>
      <c r="F225" t="inlineStr">
        <is>
          <t>VÄSTRA GÖTALANDS LÄN</t>
        </is>
      </c>
      <c r="G225" t="inlineStr">
        <is>
          <t>GÖTENE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46233</v>
      </c>
      <c r="F226" t="inlineStr">
        <is>
          <t>VÄSTRA GÖTALANDS LÄN</t>
        </is>
      </c>
      <c r="G226" t="inlineStr">
        <is>
          <t>GÖTENE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16341-2025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45751</v>
      </c>
      <c r="E227" s="1" t="n">
        <v>46233</v>
      </c>
      <c r="F227" t="inlineStr">
        <is>
          <t>VÄSTRA GÖTALANDS LÄN</t>
        </is>
      </c>
      <c r="G227" t="inlineStr">
        <is>
          <t>GÖTENE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10668-2025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45721</v>
      </c>
      <c r="E228" s="1" t="n">
        <v>46233</v>
      </c>
      <c r="F228" t="inlineStr">
        <is>
          <t>VÄSTRA GÖTALANDS LÄN</t>
        </is>
      </c>
      <c r="G228" t="inlineStr">
        <is>
          <t>GÖTENE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46233</v>
      </c>
      <c r="F229" t="inlineStr">
        <is>
          <t>VÄSTRA GÖTALANDS LÄN</t>
        </is>
      </c>
      <c r="G229" t="inlineStr">
        <is>
          <t>GÖTENE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6120-2022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44862</v>
      </c>
      <c r="E230" s="1" t="n">
        <v>46233</v>
      </c>
      <c r="F230" t="inlineStr">
        <is>
          <t>VÄSTRA GÖTALANDS LÄN</t>
        </is>
      </c>
      <c r="G230" t="inlineStr">
        <is>
          <t>GÖTENE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615-2024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45352</v>
      </c>
      <c r="E231" s="1" t="n">
        <v>46233</v>
      </c>
      <c r="F231" t="inlineStr">
        <is>
          <t>VÄSTRA GÖTALANDS LÄN</t>
        </is>
      </c>
      <c r="G231" t="inlineStr">
        <is>
          <t>GÖTENE</t>
        </is>
      </c>
      <c r="I231" t="n">
        <v>19.1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614-2024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46233</v>
      </c>
      <c r="F232" t="inlineStr">
        <is>
          <t>VÄSTRA GÖTALANDS LÄN</t>
        </is>
      </c>
      <c r="G232" t="inlineStr">
        <is>
          <t>GÖTENE</t>
        </is>
      </c>
      <c r="I232" t="n">
        <v>11.4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2026-07-30T01:54:21Z</dcterms:created>
  <dcterms:modified xmlns:dcterms="http://purl.org/dc/terms/" xmlns:xsi="http://www.w3.org/2001/XMLSchema-instance" xsi:type="dcterms:W3CDTF">2026-07-30T01:54:22Z</dcterms:modified>
</cp:coreProperties>
</file>