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46167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46167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46167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46167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46167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46167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46167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46167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46167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21378-2026</t>
        </is>
      </c>
      <c r="B11" s="1" t="n">
        <v>46147.66314814815</v>
      </c>
      <c r="C11" s="1" t="n">
        <v>46167</v>
      </c>
      <c r="D11" t="inlineStr">
        <is>
          <t>VÄSTRA GÖTALANDS LÄN</t>
        </is>
      </c>
      <c r="E11" t="inlineStr">
        <is>
          <t>GÖTENE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HYPERLINK("https://klasma.github.io/Logging_1471/artfynd/A 21378-2026 artfynd.xlsx", "A 21378-2026")</f>
        <v/>
      </c>
      <c r="T11">
        <f>HYPERLINK("https://klasma.github.io/Logging_1471/kartor/A 21378-2026 karta.png", "A 21378-2026")</f>
        <v/>
      </c>
      <c r="V11">
        <f>HYPERLINK("https://klasma.github.io/Logging_1471/klagomål/A 21378-2026 FSC-klagomål.docx", "A 21378-2026")</f>
        <v/>
      </c>
      <c r="W11">
        <f>HYPERLINK("https://klasma.github.io/Logging_1471/klagomålsmail/A 21378-2026 FSC-klagomål mail.docx", "A 21378-2026")</f>
        <v/>
      </c>
      <c r="X11">
        <f>HYPERLINK("https://klasma.github.io/Logging_1471/tillsyn/A 21378-2026 tillsynsbegäran.docx", "A 21378-2026")</f>
        <v/>
      </c>
      <c r="Y11">
        <f>HYPERLINK("https://klasma.github.io/Logging_1471/tillsynsmail/A 21378-2026 tillsynsbegäran mail.docx", "A 21378-2026")</f>
        <v/>
      </c>
    </row>
    <row r="12" ht="15" customHeight="1">
      <c r="A12" t="inlineStr">
        <is>
          <t>A 5086-2024</t>
        </is>
      </c>
      <c r="B12" s="1" t="n">
        <v>45330</v>
      </c>
      <c r="C12" s="1" t="n">
        <v>46167</v>
      </c>
      <c r="D12" t="inlineStr">
        <is>
          <t>VÄSTRA GÖTALANDS LÄN</t>
        </is>
      </c>
      <c r="E12" t="inlineStr">
        <is>
          <t>GÖTENE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Strävlosta</t>
        </is>
      </c>
      <c r="S12">
        <f>HYPERLINK("https://klasma.github.io/Logging_1471/artfynd/A 5086-2024 artfynd.xlsx", "A 5086-2024")</f>
        <v/>
      </c>
      <c r="T12">
        <f>HYPERLINK("https://klasma.github.io/Logging_1471/kartor/A 5086-2024 karta.png", "A 5086-2024")</f>
        <v/>
      </c>
      <c r="V12">
        <f>HYPERLINK("https://klasma.github.io/Logging_1471/klagomål/A 5086-2024 FSC-klagomål.docx", "A 5086-2024")</f>
        <v/>
      </c>
      <c r="W12">
        <f>HYPERLINK("https://klasma.github.io/Logging_1471/klagomålsmail/A 5086-2024 FSC-klagomål mail.docx", "A 5086-2024")</f>
        <v/>
      </c>
      <c r="X12">
        <f>HYPERLINK("https://klasma.github.io/Logging_1471/tillsyn/A 5086-2024 tillsynsbegäran.docx", "A 5086-2024")</f>
        <v/>
      </c>
      <c r="Y12">
        <f>HYPERLINK("https://klasma.github.io/Logging_1471/tillsynsmail/A 5086-2024 tillsynsbegäran mail.docx", "A 5086-2024")</f>
        <v/>
      </c>
    </row>
    <row r="13" ht="15" customHeight="1">
      <c r="A13" t="inlineStr">
        <is>
          <t>A 562-2022</t>
        </is>
      </c>
      <c r="B13" s="1" t="n">
        <v>44566</v>
      </c>
      <c r="C13" s="1" t="n">
        <v>46167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46167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46167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46167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46167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46167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46167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46167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46167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46167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46167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46167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46167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46167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46167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46167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46167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46167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46167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46167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46167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46167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46167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46167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46167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46167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46167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46167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46167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46167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46167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46167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46167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46167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46167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46167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46167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46167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46167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46167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46167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46167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46167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58418-2024</t>
        </is>
      </c>
      <c r="B56" s="1" t="n">
        <v>45634</v>
      </c>
      <c r="C56" s="1" t="n">
        <v>46167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33162-2024</t>
        </is>
      </c>
      <c r="B57" s="1" t="n">
        <v>45518</v>
      </c>
      <c r="C57" s="1" t="n">
        <v>46167</v>
      </c>
      <c r="D57" t="inlineStr">
        <is>
          <t>VÄSTRA GÖTALANDS LÄN</t>
        </is>
      </c>
      <c r="E57" t="inlineStr">
        <is>
          <t>GÖTENE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36381-2023</t>
        </is>
      </c>
      <c r="B58" s="1" t="n">
        <v>45152.52061342593</v>
      </c>
      <c r="C58" s="1" t="n">
        <v>46167</v>
      </c>
      <c r="D58" t="inlineStr">
        <is>
          <t>VÄSTRA GÖTALANDS LÄN</t>
        </is>
      </c>
      <c r="E58" t="inlineStr">
        <is>
          <t>GÖTENE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8330-2024</t>
        </is>
      </c>
      <c r="B59" s="1" t="n">
        <v>45352.48944444444</v>
      </c>
      <c r="C59" s="1" t="n">
        <v>46167</v>
      </c>
      <c r="D59" t="inlineStr">
        <is>
          <t>VÄSTRA GÖTALANDS LÄN</t>
        </is>
      </c>
      <c r="E59" t="inlineStr">
        <is>
          <t>GÖTENE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13276-2024</t>
        </is>
      </c>
      <c r="B60" s="1" t="n">
        <v>45386</v>
      </c>
      <c r="C60" s="1" t="n">
        <v>46167</v>
      </c>
      <c r="D60" t="inlineStr">
        <is>
          <t>VÄSTRA GÖTALANDS LÄN</t>
        </is>
      </c>
      <c r="E60" t="inlineStr">
        <is>
          <t>GÖTENE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49700-2021</t>
        </is>
      </c>
      <c r="B61" s="1" t="n">
        <v>44455</v>
      </c>
      <c r="C61" s="1" t="n">
        <v>46167</v>
      </c>
      <c r="D61" t="inlineStr">
        <is>
          <t>VÄSTRA GÖTALANDS LÄN</t>
        </is>
      </c>
      <c r="E61" t="inlineStr">
        <is>
          <t>GÖTENE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849-2023</t>
        </is>
      </c>
      <c r="B62" s="1" t="n">
        <v>44931.57689814815</v>
      </c>
      <c r="C62" s="1" t="n">
        <v>46167</v>
      </c>
      <c r="D62" t="inlineStr">
        <is>
          <t>VÄSTRA GÖTALANDS LÄN</t>
        </is>
      </c>
      <c r="E62" t="inlineStr">
        <is>
          <t>GÖTENE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44608-2023</t>
        </is>
      </c>
      <c r="B63" s="1" t="n">
        <v>45189</v>
      </c>
      <c r="C63" s="1" t="n">
        <v>46167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41721-2022</t>
        </is>
      </c>
      <c r="B64" s="1" t="n">
        <v>44827</v>
      </c>
      <c r="C64" s="1" t="n">
        <v>46167</v>
      </c>
      <c r="D64" t="inlineStr">
        <is>
          <t>VÄSTRA GÖTALANDS LÄN</t>
        </is>
      </c>
      <c r="E64" t="inlineStr">
        <is>
          <t>GÖTENE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11889-2024</t>
        </is>
      </c>
      <c r="B65" s="1" t="n">
        <v>45376.52688657407</v>
      </c>
      <c r="C65" s="1" t="n">
        <v>46167</v>
      </c>
      <c r="D65" t="inlineStr">
        <is>
          <t>VÄSTRA GÖTALANDS LÄN</t>
        </is>
      </c>
      <c r="E65" t="inlineStr">
        <is>
          <t>GÖTENE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11772-2024</t>
        </is>
      </c>
      <c r="B66" s="1" t="n">
        <v>45373</v>
      </c>
      <c r="C66" s="1" t="n">
        <v>46167</v>
      </c>
      <c r="D66" t="inlineStr">
        <is>
          <t>VÄSTRA GÖTALANDS LÄN</t>
        </is>
      </c>
      <c r="E66" t="inlineStr">
        <is>
          <t>GÖTENE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11773-2024</t>
        </is>
      </c>
      <c r="B67" s="1" t="n">
        <v>45373</v>
      </c>
      <c r="C67" s="1" t="n">
        <v>46167</v>
      </c>
      <c r="D67" t="inlineStr">
        <is>
          <t>VÄSTRA GÖTALANDS LÄN</t>
        </is>
      </c>
      <c r="E67" t="inlineStr">
        <is>
          <t>GÖTENE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31917-2022</t>
        </is>
      </c>
      <c r="B68" s="1" t="n">
        <v>44777.59171296296</v>
      </c>
      <c r="C68" s="1" t="n">
        <v>46167</v>
      </c>
      <c r="D68" t="inlineStr">
        <is>
          <t>VÄSTRA GÖTALANDS LÄN</t>
        </is>
      </c>
      <c r="E68" t="inlineStr">
        <is>
          <t>GÖTENE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28205-2021</t>
        </is>
      </c>
      <c r="B69" s="1" t="n">
        <v>44355</v>
      </c>
      <c r="C69" s="1" t="n">
        <v>46167</v>
      </c>
      <c r="D69" t="inlineStr">
        <is>
          <t>VÄSTRA GÖTALANDS LÄN</t>
        </is>
      </c>
      <c r="E69" t="inlineStr">
        <is>
          <t>GÖTENE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15649-2023</t>
        </is>
      </c>
      <c r="B70" s="1" t="n">
        <v>45021.38078703704</v>
      </c>
      <c r="C70" s="1" t="n">
        <v>46167</v>
      </c>
      <c r="D70" t="inlineStr">
        <is>
          <t>VÄSTRA GÖTALANDS LÄN</t>
        </is>
      </c>
      <c r="E70" t="inlineStr">
        <is>
          <t>GÖTENE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61021-2022</t>
        </is>
      </c>
      <c r="B71" s="1" t="n">
        <v>44914</v>
      </c>
      <c r="C71" s="1" t="n">
        <v>46167</v>
      </c>
      <c r="D71" t="inlineStr">
        <is>
          <t>VÄSTRA GÖTALANDS LÄN</t>
        </is>
      </c>
      <c r="E71" t="inlineStr">
        <is>
          <t>GÖTENE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17010-2022</t>
        </is>
      </c>
      <c r="B72" s="1" t="n">
        <v>44676.67267361111</v>
      </c>
      <c r="C72" s="1" t="n">
        <v>46167</v>
      </c>
      <c r="D72" t="inlineStr">
        <is>
          <t>VÄSTRA GÖTALANDS LÄN</t>
        </is>
      </c>
      <c r="E72" t="inlineStr">
        <is>
          <t>GÖTENE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30205-2023</t>
        </is>
      </c>
      <c r="B73" s="1" t="n">
        <v>45110.61938657407</v>
      </c>
      <c r="C73" s="1" t="n">
        <v>46167</v>
      </c>
      <c r="D73" t="inlineStr">
        <is>
          <t>VÄSTRA GÖTALANDS LÄN</t>
        </is>
      </c>
      <c r="E73" t="inlineStr">
        <is>
          <t>GÖTENE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35202-2024</t>
        </is>
      </c>
      <c r="B74" s="1" t="n">
        <v>45530.47739583333</v>
      </c>
      <c r="C74" s="1" t="n">
        <v>46167</v>
      </c>
      <c r="D74" t="inlineStr">
        <is>
          <t>VÄSTRA GÖTALANDS LÄN</t>
        </is>
      </c>
      <c r="E74" t="inlineStr">
        <is>
          <t>GÖTENE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22278-2024</t>
        </is>
      </c>
      <c r="B75" s="1" t="n">
        <v>45446</v>
      </c>
      <c r="C75" s="1" t="n">
        <v>46167</v>
      </c>
      <c r="D75" t="inlineStr">
        <is>
          <t>VÄSTRA GÖTALANDS LÄN</t>
        </is>
      </c>
      <c r="E75" t="inlineStr">
        <is>
          <t>GÖTENE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35153-2025</t>
        </is>
      </c>
      <c r="B76" s="1" t="n">
        <v>45852.68678240741</v>
      </c>
      <c r="C76" s="1" t="n">
        <v>46167</v>
      </c>
      <c r="D76" t="inlineStr">
        <is>
          <t>VÄSTRA GÖTALANDS LÄN</t>
        </is>
      </c>
      <c r="E76" t="inlineStr">
        <is>
          <t>GÖTENE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6925-2023</t>
        </is>
      </c>
      <c r="B77" s="1" t="n">
        <v>44967</v>
      </c>
      <c r="C77" s="1" t="n">
        <v>46167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38701-2025</t>
        </is>
      </c>
      <c r="B78" s="1" t="n">
        <v>45884</v>
      </c>
      <c r="C78" s="1" t="n">
        <v>46167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58236-2024</t>
        </is>
      </c>
      <c r="B79" s="1" t="n">
        <v>45632.53951388889</v>
      </c>
      <c r="C79" s="1" t="n">
        <v>46167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61194-2024</t>
        </is>
      </c>
      <c r="B80" s="1" t="n">
        <v>45645.62891203703</v>
      </c>
      <c r="C80" s="1" t="n">
        <v>46167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58691-2024</t>
        </is>
      </c>
      <c r="B81" s="1" t="n">
        <v>45635.6282175926</v>
      </c>
      <c r="C81" s="1" t="n">
        <v>46167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34395-2025</t>
        </is>
      </c>
      <c r="B82" s="1" t="n">
        <v>45846.59416666667</v>
      </c>
      <c r="C82" s="1" t="n">
        <v>46167</v>
      </c>
      <c r="D82" t="inlineStr">
        <is>
          <t>VÄSTRA GÖTALANDS LÄN</t>
        </is>
      </c>
      <c r="E82" t="inlineStr">
        <is>
          <t>GÖTENE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34562-2025</t>
        </is>
      </c>
      <c r="B83" s="1" t="n">
        <v>45847.57822916667</v>
      </c>
      <c r="C83" s="1" t="n">
        <v>46167</v>
      </c>
      <c r="D83" t="inlineStr">
        <is>
          <t>VÄSTRA GÖTALANDS LÄN</t>
        </is>
      </c>
      <c r="E83" t="inlineStr">
        <is>
          <t>GÖTENE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35947-2025</t>
        </is>
      </c>
      <c r="B84" s="1" t="n">
        <v>45862.73864583333</v>
      </c>
      <c r="C84" s="1" t="n">
        <v>46167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17069-2023</t>
        </is>
      </c>
      <c r="B85" s="1" t="n">
        <v>45034</v>
      </c>
      <c r="C85" s="1" t="n">
        <v>46167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39998-2025</t>
        </is>
      </c>
      <c r="B86" s="1" t="n">
        <v>45894.32873842592</v>
      </c>
      <c r="C86" s="1" t="n">
        <v>46167</v>
      </c>
      <c r="D86" t="inlineStr">
        <is>
          <t>VÄSTRA GÖTALANDS LÄN</t>
        </is>
      </c>
      <c r="E86" t="inlineStr">
        <is>
          <t>GÖTENE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39995-2025</t>
        </is>
      </c>
      <c r="B87" s="1" t="n">
        <v>45894.31888888889</v>
      </c>
      <c r="C87" s="1" t="n">
        <v>46167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22906-2026</t>
        </is>
      </c>
      <c r="B88" s="1" t="n">
        <v>46160.49537037037</v>
      </c>
      <c r="C88" s="1" t="n">
        <v>46167</v>
      </c>
      <c r="D88" t="inlineStr">
        <is>
          <t>VÄSTRA GÖTALANDS LÄN</t>
        </is>
      </c>
      <c r="E88" t="inlineStr">
        <is>
          <t>GÖTENE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1379-2025</t>
        </is>
      </c>
      <c r="B89" s="1" t="n">
        <v>45667.65357638889</v>
      </c>
      <c r="C89" s="1" t="n">
        <v>46167</v>
      </c>
      <c r="D89" t="inlineStr">
        <is>
          <t>VÄSTRA GÖTALANDS LÄN</t>
        </is>
      </c>
      <c r="E89" t="inlineStr">
        <is>
          <t>GÖTENE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22912-2026</t>
        </is>
      </c>
      <c r="B90" s="1" t="n">
        <v>46160.51670138889</v>
      </c>
      <c r="C90" s="1" t="n">
        <v>46167</v>
      </c>
      <c r="D90" t="inlineStr">
        <is>
          <t>VÄSTRA GÖTALANDS LÄN</t>
        </is>
      </c>
      <c r="E90" t="inlineStr">
        <is>
          <t>GÖTENE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22916-2026</t>
        </is>
      </c>
      <c r="B91" s="1" t="n">
        <v>46160</v>
      </c>
      <c r="C91" s="1" t="n">
        <v>46167</v>
      </c>
      <c r="D91" t="inlineStr">
        <is>
          <t>VÄSTRA GÖTALANDS LÄN</t>
        </is>
      </c>
      <c r="E91" t="inlineStr">
        <is>
          <t>GÖTENE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13450-2025</t>
        </is>
      </c>
      <c r="B92" s="1" t="n">
        <v>45736.37754629629</v>
      </c>
      <c r="C92" s="1" t="n">
        <v>46167</v>
      </c>
      <c r="D92" t="inlineStr">
        <is>
          <t>VÄSTRA GÖTALANDS LÄN</t>
        </is>
      </c>
      <c r="E92" t="inlineStr">
        <is>
          <t>GÖTENE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6092-2024</t>
        </is>
      </c>
      <c r="B93" s="1" t="n">
        <v>45337</v>
      </c>
      <c r="C93" s="1" t="n">
        <v>46167</v>
      </c>
      <c r="D93" t="inlineStr">
        <is>
          <t>VÄSTRA GÖTALANDS LÄN</t>
        </is>
      </c>
      <c r="E93" t="inlineStr">
        <is>
          <t>GÖTENE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19115-2025</t>
        </is>
      </c>
      <c r="B94" s="1" t="n">
        <v>45768.72082175926</v>
      </c>
      <c r="C94" s="1" t="n">
        <v>46167</v>
      </c>
      <c r="D94" t="inlineStr">
        <is>
          <t>VÄSTRA GÖTALANDS LÄN</t>
        </is>
      </c>
      <c r="E94" t="inlineStr">
        <is>
          <t>GÖTENE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17789-2026</t>
        </is>
      </c>
      <c r="B95" s="1" t="n">
        <v>46122.38344907408</v>
      </c>
      <c r="C95" s="1" t="n">
        <v>46167</v>
      </c>
      <c r="D95" t="inlineStr">
        <is>
          <t>VÄSTRA GÖTALANDS LÄN</t>
        </is>
      </c>
      <c r="E95" t="inlineStr">
        <is>
          <t>GÖTENE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12319-2025</t>
        </is>
      </c>
      <c r="B96" s="1" t="n">
        <v>45729.97268518519</v>
      </c>
      <c r="C96" s="1" t="n">
        <v>46167</v>
      </c>
      <c r="D96" t="inlineStr">
        <is>
          <t>VÄSTRA GÖTALANDS LÄN</t>
        </is>
      </c>
      <c r="E96" t="inlineStr">
        <is>
          <t>GÖTENE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43189-2025</t>
        </is>
      </c>
      <c r="B97" s="1" t="n">
        <v>45910.41298611111</v>
      </c>
      <c r="C97" s="1" t="n">
        <v>46167</v>
      </c>
      <c r="D97" t="inlineStr">
        <is>
          <t>VÄSTRA GÖTALANDS LÄN</t>
        </is>
      </c>
      <c r="E97" t="inlineStr">
        <is>
          <t>GÖTENE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43986-2025</t>
        </is>
      </c>
      <c r="B98" s="1" t="n">
        <v>45915.4346875</v>
      </c>
      <c r="C98" s="1" t="n">
        <v>46167</v>
      </c>
      <c r="D98" t="inlineStr">
        <is>
          <t>VÄSTRA GÖTALANDS LÄN</t>
        </is>
      </c>
      <c r="E98" t="inlineStr">
        <is>
          <t>GÖTENE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45180-2024</t>
        </is>
      </c>
      <c r="B99" s="1" t="n">
        <v>45575.66361111111</v>
      </c>
      <c r="C99" s="1" t="n">
        <v>46167</v>
      </c>
      <c r="D99" t="inlineStr">
        <is>
          <t>VÄSTRA GÖTALANDS LÄN</t>
        </is>
      </c>
      <c r="E99" t="inlineStr">
        <is>
          <t>GÖTENE</t>
        </is>
      </c>
      <c r="G99" t="n">
        <v>14.7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18647-2025</t>
        </is>
      </c>
      <c r="B100" s="1" t="n">
        <v>45763.57391203703</v>
      </c>
      <c r="C100" s="1" t="n">
        <v>46167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Kommuner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14502-2023</t>
        </is>
      </c>
      <c r="B101" s="1" t="n">
        <v>45012.74041666667</v>
      </c>
      <c r="C101" s="1" t="n">
        <v>46167</v>
      </c>
      <c r="D101" t="inlineStr">
        <is>
          <t>VÄSTRA GÖTALANDS LÄN</t>
        </is>
      </c>
      <c r="E101" t="inlineStr">
        <is>
          <t>GÖTENE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13340-2022</t>
        </is>
      </c>
      <c r="B102" s="1" t="n">
        <v>44645</v>
      </c>
      <c r="C102" s="1" t="n">
        <v>46167</v>
      </c>
      <c r="D102" t="inlineStr">
        <is>
          <t>VÄSTRA GÖTALANDS LÄN</t>
        </is>
      </c>
      <c r="E102" t="inlineStr">
        <is>
          <t>GÖTENE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13348-2022</t>
        </is>
      </c>
      <c r="B103" s="1" t="n">
        <v>44645</v>
      </c>
      <c r="C103" s="1" t="n">
        <v>46167</v>
      </c>
      <c r="D103" t="inlineStr">
        <is>
          <t>VÄSTRA GÖTALANDS LÄN</t>
        </is>
      </c>
      <c r="E103" t="inlineStr">
        <is>
          <t>GÖTENE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13366-2022</t>
        </is>
      </c>
      <c r="B104" s="1" t="n">
        <v>44645</v>
      </c>
      <c r="C104" s="1" t="n">
        <v>46167</v>
      </c>
      <c r="D104" t="inlineStr">
        <is>
          <t>VÄSTRA GÖTALANDS LÄN</t>
        </is>
      </c>
      <c r="E104" t="inlineStr">
        <is>
          <t>GÖTENE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45009-2025</t>
        </is>
      </c>
      <c r="B105" s="1" t="n">
        <v>45918.67119212963</v>
      </c>
      <c r="C105" s="1" t="n">
        <v>46167</v>
      </c>
      <c r="D105" t="inlineStr">
        <is>
          <t>VÄSTRA GÖTALANDS LÄN</t>
        </is>
      </c>
      <c r="E105" t="inlineStr">
        <is>
          <t>GÖTENE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45010-2025</t>
        </is>
      </c>
      <c r="B106" s="1" t="n">
        <v>45918.67211805555</v>
      </c>
      <c r="C106" s="1" t="n">
        <v>46167</v>
      </c>
      <c r="D106" t="inlineStr">
        <is>
          <t>VÄSTRA GÖTALANDS LÄN</t>
        </is>
      </c>
      <c r="E106" t="inlineStr">
        <is>
          <t>GÖTENE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45013-2025</t>
        </is>
      </c>
      <c r="B107" s="1" t="n">
        <v>45918.67410879629</v>
      </c>
      <c r="C107" s="1" t="n">
        <v>46167</v>
      </c>
      <c r="D107" t="inlineStr">
        <is>
          <t>VÄSTRA GÖTALANDS LÄN</t>
        </is>
      </c>
      <c r="E107" t="inlineStr">
        <is>
          <t>GÖTENE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45011-2025</t>
        </is>
      </c>
      <c r="B108" s="1" t="n">
        <v>45918.67297453704</v>
      </c>
      <c r="C108" s="1" t="n">
        <v>46167</v>
      </c>
      <c r="D108" t="inlineStr">
        <is>
          <t>VÄSTRA GÖTALANDS LÄN</t>
        </is>
      </c>
      <c r="E108" t="inlineStr">
        <is>
          <t>GÖTENE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45007-2025</t>
        </is>
      </c>
      <c r="B109" s="1" t="n">
        <v>45918.66829861111</v>
      </c>
      <c r="C109" s="1" t="n">
        <v>46167</v>
      </c>
      <c r="D109" t="inlineStr">
        <is>
          <t>VÄSTRA GÖTALANDS LÄN</t>
        </is>
      </c>
      <c r="E109" t="inlineStr">
        <is>
          <t>GÖTENE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15646-2023</t>
        </is>
      </c>
      <c r="B110" s="1" t="n">
        <v>45021.37828703703</v>
      </c>
      <c r="C110" s="1" t="n">
        <v>46167</v>
      </c>
      <c r="D110" t="inlineStr">
        <is>
          <t>VÄSTRA GÖTALANDS LÄN</t>
        </is>
      </c>
      <c r="E110" t="inlineStr">
        <is>
          <t>GÖTENE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45211-2022</t>
        </is>
      </c>
      <c r="B111" s="1" t="n">
        <v>44844.44121527778</v>
      </c>
      <c r="C111" s="1" t="n">
        <v>46167</v>
      </c>
      <c r="D111" t="inlineStr">
        <is>
          <t>VÄSTRA GÖTALANDS LÄN</t>
        </is>
      </c>
      <c r="E111" t="inlineStr">
        <is>
          <t>GÖTENE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9607-2024</t>
        </is>
      </c>
      <c r="B112" s="1" t="n">
        <v>45361</v>
      </c>
      <c r="C112" s="1" t="n">
        <v>46167</v>
      </c>
      <c r="D112" t="inlineStr">
        <is>
          <t>VÄSTRA GÖTALANDS LÄN</t>
        </is>
      </c>
      <c r="E112" t="inlineStr">
        <is>
          <t>GÖTENE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46959-2025</t>
        </is>
      </c>
      <c r="B113" s="1" t="n">
        <v>45929.48538194445</v>
      </c>
      <c r="C113" s="1" t="n">
        <v>46167</v>
      </c>
      <c r="D113" t="inlineStr">
        <is>
          <t>VÄSTRA GÖTALANDS LÄN</t>
        </is>
      </c>
      <c r="E113" t="inlineStr">
        <is>
          <t>GÖTENE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46954-2025</t>
        </is>
      </c>
      <c r="B114" s="1" t="n">
        <v>45929.48041666667</v>
      </c>
      <c r="C114" s="1" t="n">
        <v>46167</v>
      </c>
      <c r="D114" t="inlineStr">
        <is>
          <t>VÄSTRA GÖTALANDS LÄN</t>
        </is>
      </c>
      <c r="E114" t="inlineStr">
        <is>
          <t>GÖTENE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47368-2025</t>
        </is>
      </c>
      <c r="B115" s="1" t="n">
        <v>45930.59194444444</v>
      </c>
      <c r="C115" s="1" t="n">
        <v>46167</v>
      </c>
      <c r="D115" t="inlineStr">
        <is>
          <t>VÄSTRA GÖTALANDS LÄN</t>
        </is>
      </c>
      <c r="E115" t="inlineStr">
        <is>
          <t>GÖTENE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47175-2025</t>
        </is>
      </c>
      <c r="B116" s="1" t="n">
        <v>45930.26871527778</v>
      </c>
      <c r="C116" s="1" t="n">
        <v>46167</v>
      </c>
      <c r="D116" t="inlineStr">
        <is>
          <t>VÄSTRA GÖTALANDS LÄN</t>
        </is>
      </c>
      <c r="E116" t="inlineStr">
        <is>
          <t>GÖTENE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47383-2025</t>
        </is>
      </c>
      <c r="B117" s="1" t="n">
        <v>45930.59738425926</v>
      </c>
      <c r="C117" s="1" t="n">
        <v>46167</v>
      </c>
      <c r="D117" t="inlineStr">
        <is>
          <t>VÄSTRA GÖTALANDS LÄN</t>
        </is>
      </c>
      <c r="E117" t="inlineStr">
        <is>
          <t>GÖTENE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47385-2025</t>
        </is>
      </c>
      <c r="B118" s="1" t="n">
        <v>45930.59872685185</v>
      </c>
      <c r="C118" s="1" t="n">
        <v>46167</v>
      </c>
      <c r="D118" t="inlineStr">
        <is>
          <t>VÄSTRA GÖTALANDS LÄN</t>
        </is>
      </c>
      <c r="E118" t="inlineStr">
        <is>
          <t>GÖTENE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9145-2023</t>
        </is>
      </c>
      <c r="B119" s="1" t="n">
        <v>44974</v>
      </c>
      <c r="C119" s="1" t="n">
        <v>46167</v>
      </c>
      <c r="D119" t="inlineStr">
        <is>
          <t>VÄSTRA GÖTALANDS LÄN</t>
        </is>
      </c>
      <c r="E119" t="inlineStr">
        <is>
          <t>GÖTENE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47371-2025</t>
        </is>
      </c>
      <c r="B120" s="1" t="n">
        <v>45930.59351851852</v>
      </c>
      <c r="C120" s="1" t="n">
        <v>46167</v>
      </c>
      <c r="D120" t="inlineStr">
        <is>
          <t>VÄSTRA GÖTALANDS LÄN</t>
        </is>
      </c>
      <c r="E120" t="inlineStr">
        <is>
          <t>GÖTENE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47388-2025</t>
        </is>
      </c>
      <c r="B121" s="1" t="n">
        <v>45930.60120370371</v>
      </c>
      <c r="C121" s="1" t="n">
        <v>46167</v>
      </c>
      <c r="D121" t="inlineStr">
        <is>
          <t>VÄSTRA GÖTALANDS LÄN</t>
        </is>
      </c>
      <c r="E121" t="inlineStr">
        <is>
          <t>GÖTENE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47389-2025</t>
        </is>
      </c>
      <c r="B122" s="1" t="n">
        <v>45930.60195601852</v>
      </c>
      <c r="C122" s="1" t="n">
        <v>46167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48012-2025</t>
        </is>
      </c>
      <c r="B123" s="1" t="n">
        <v>45932.64380787037</v>
      </c>
      <c r="C123" s="1" t="n">
        <v>46167</v>
      </c>
      <c r="D123" t="inlineStr">
        <is>
          <t>VÄSTRA GÖTALANDS LÄN</t>
        </is>
      </c>
      <c r="E123" t="inlineStr">
        <is>
          <t>GÖTENE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1662-2025</t>
        </is>
      </c>
      <c r="B124" s="1" t="n">
        <v>45670</v>
      </c>
      <c r="C124" s="1" t="n">
        <v>46167</v>
      </c>
      <c r="D124" t="inlineStr">
        <is>
          <t>VÄSTRA GÖTALANDS LÄN</t>
        </is>
      </c>
      <c r="E124" t="inlineStr">
        <is>
          <t>GÖTENE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49077-2025</t>
        </is>
      </c>
      <c r="B125" s="1" t="n">
        <v>45937.6599074074</v>
      </c>
      <c r="C125" s="1" t="n">
        <v>46167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Sveaskog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13268-2024</t>
        </is>
      </c>
      <c r="B126" s="1" t="n">
        <v>45386</v>
      </c>
      <c r="C126" s="1" t="n">
        <v>46167</v>
      </c>
      <c r="D126" t="inlineStr">
        <is>
          <t>VÄSTRA GÖTALANDS LÄN</t>
        </is>
      </c>
      <c r="E126" t="inlineStr">
        <is>
          <t>GÖTENE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10451-2024</t>
        </is>
      </c>
      <c r="B127" s="1" t="n">
        <v>45366.35112268518</v>
      </c>
      <c r="C127" s="1" t="n">
        <v>46167</v>
      </c>
      <c r="D127" t="inlineStr">
        <is>
          <t>VÄSTRA GÖTALANDS LÄN</t>
        </is>
      </c>
      <c r="E127" t="inlineStr">
        <is>
          <t>GÖTENE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38251-2021</t>
        </is>
      </c>
      <c r="B128" s="1" t="n">
        <v>44405</v>
      </c>
      <c r="C128" s="1" t="n">
        <v>46167</v>
      </c>
      <c r="D128" t="inlineStr">
        <is>
          <t>VÄSTRA GÖTALANDS LÄN</t>
        </is>
      </c>
      <c r="E128" t="inlineStr">
        <is>
          <t>GÖTENE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12660-2023</t>
        </is>
      </c>
      <c r="B129" s="1" t="n">
        <v>45000</v>
      </c>
      <c r="C129" s="1" t="n">
        <v>46167</v>
      </c>
      <c r="D129" t="inlineStr">
        <is>
          <t>VÄSTRA GÖTALANDS LÄN</t>
        </is>
      </c>
      <c r="E129" t="inlineStr">
        <is>
          <t>GÖTENE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22055-2023</t>
        </is>
      </c>
      <c r="B130" s="1" t="n">
        <v>45069.41737268519</v>
      </c>
      <c r="C130" s="1" t="n">
        <v>46167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10596-2024</t>
        </is>
      </c>
      <c r="B131" s="1" t="n">
        <v>45366.78552083333</v>
      </c>
      <c r="C131" s="1" t="n">
        <v>46167</v>
      </c>
      <c r="D131" t="inlineStr">
        <is>
          <t>VÄSTRA GÖTALANDS LÄN</t>
        </is>
      </c>
      <c r="E131" t="inlineStr">
        <is>
          <t>GÖTENE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52231-2025</t>
        </is>
      </c>
      <c r="B132" s="1" t="n">
        <v>45953.44965277778</v>
      </c>
      <c r="C132" s="1" t="n">
        <v>46167</v>
      </c>
      <c r="D132" t="inlineStr">
        <is>
          <t>VÄSTRA GÖTALANDS LÄN</t>
        </is>
      </c>
      <c r="E132" t="inlineStr">
        <is>
          <t>GÖTENE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52141-2025</t>
        </is>
      </c>
      <c r="B133" s="1" t="n">
        <v>45953.32733796296</v>
      </c>
      <c r="C133" s="1" t="n">
        <v>46167</v>
      </c>
      <c r="D133" t="inlineStr">
        <is>
          <t>VÄSTRA GÖTALANDS LÄN</t>
        </is>
      </c>
      <c r="E133" t="inlineStr">
        <is>
          <t>GÖTENE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53273-2025</t>
        </is>
      </c>
      <c r="B134" s="1" t="n">
        <v>45958.71226851852</v>
      </c>
      <c r="C134" s="1" t="n">
        <v>46167</v>
      </c>
      <c r="D134" t="inlineStr">
        <is>
          <t>VÄSTRA GÖTALANDS LÄN</t>
        </is>
      </c>
      <c r="E134" t="inlineStr">
        <is>
          <t>GÖTENE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28268-2023</t>
        </is>
      </c>
      <c r="B135" s="1" t="n">
        <v>45099.61547453704</v>
      </c>
      <c r="C135" s="1" t="n">
        <v>46167</v>
      </c>
      <c r="D135" t="inlineStr">
        <is>
          <t>VÄSTRA GÖTALANDS LÄN</t>
        </is>
      </c>
      <c r="E135" t="inlineStr">
        <is>
          <t>GÖTENE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850-2023</t>
        </is>
      </c>
      <c r="B136" s="1" t="n">
        <v>44931.57833333333</v>
      </c>
      <c r="C136" s="1" t="n">
        <v>46167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55764-2024</t>
        </is>
      </c>
      <c r="B137" s="1" t="n">
        <v>45623.36986111111</v>
      </c>
      <c r="C137" s="1" t="n">
        <v>46167</v>
      </c>
      <c r="D137" t="inlineStr">
        <is>
          <t>VÄSTRA GÖTALANDS LÄN</t>
        </is>
      </c>
      <c r="E137" t="inlineStr">
        <is>
          <t>GÖTENE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54757-2025</t>
        </is>
      </c>
      <c r="B138" s="1" t="n">
        <v>45966</v>
      </c>
      <c r="C138" s="1" t="n">
        <v>46167</v>
      </c>
      <c r="D138" t="inlineStr">
        <is>
          <t>VÄSTRA GÖTALANDS LÄN</t>
        </is>
      </c>
      <c r="E138" t="inlineStr">
        <is>
          <t>GÖTENE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19674-2023</t>
        </is>
      </c>
      <c r="B139" s="1" t="n">
        <v>45051.39313657407</v>
      </c>
      <c r="C139" s="1" t="n">
        <v>46167</v>
      </c>
      <c r="D139" t="inlineStr">
        <is>
          <t>VÄSTRA GÖTALANDS LÄN</t>
        </is>
      </c>
      <c r="E139" t="inlineStr">
        <is>
          <t>GÖTENE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19683-2023</t>
        </is>
      </c>
      <c r="B140" s="1" t="n">
        <v>45051.42228009259</v>
      </c>
      <c r="C140" s="1" t="n">
        <v>46167</v>
      </c>
      <c r="D140" t="inlineStr">
        <is>
          <t>VÄSTRA GÖTALANDS LÄN</t>
        </is>
      </c>
      <c r="E140" t="inlineStr">
        <is>
          <t>GÖTENE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8765-2022</t>
        </is>
      </c>
      <c r="B141" s="1" t="n">
        <v>44614</v>
      </c>
      <c r="C141" s="1" t="n">
        <v>46167</v>
      </c>
      <c r="D141" t="inlineStr">
        <is>
          <t>VÄSTRA GÖTALANDS LÄN</t>
        </is>
      </c>
      <c r="E141" t="inlineStr">
        <is>
          <t>GÖTENE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56365-2025</t>
        </is>
      </c>
      <c r="B142" s="1" t="n">
        <v>45974.67329861111</v>
      </c>
      <c r="C142" s="1" t="n">
        <v>46167</v>
      </c>
      <c r="D142" t="inlineStr">
        <is>
          <t>VÄSTRA GÖTALANDS LÄN</t>
        </is>
      </c>
      <c r="E142" t="inlineStr">
        <is>
          <t>GÖTENE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52352-2023</t>
        </is>
      </c>
      <c r="B143" s="1" t="n">
        <v>45224.68096064815</v>
      </c>
      <c r="C143" s="1" t="n">
        <v>46167</v>
      </c>
      <c r="D143" t="inlineStr">
        <is>
          <t>VÄSTRA GÖTALANDS LÄN</t>
        </is>
      </c>
      <c r="E143" t="inlineStr">
        <is>
          <t>GÖTENE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56347-2025</t>
        </is>
      </c>
      <c r="B144" s="1" t="n">
        <v>45974.65054398148</v>
      </c>
      <c r="C144" s="1" t="n">
        <v>46167</v>
      </c>
      <c r="D144" t="inlineStr">
        <is>
          <t>VÄSTRA GÖTALANDS LÄN</t>
        </is>
      </c>
      <c r="E144" t="inlineStr">
        <is>
          <t>GÖTENE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56352-2025</t>
        </is>
      </c>
      <c r="B145" s="1" t="n">
        <v>45974.65353009259</v>
      </c>
      <c r="C145" s="1" t="n">
        <v>46167</v>
      </c>
      <c r="D145" t="inlineStr">
        <is>
          <t>VÄSTRA GÖTALANDS LÄN</t>
        </is>
      </c>
      <c r="E145" t="inlineStr">
        <is>
          <t>GÖTENE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56414-2025</t>
        </is>
      </c>
      <c r="B146" s="1" t="n">
        <v>45975.33076388889</v>
      </c>
      <c r="C146" s="1" t="n">
        <v>46167</v>
      </c>
      <c r="D146" t="inlineStr">
        <is>
          <t>VÄSTRA GÖTALANDS LÄN</t>
        </is>
      </c>
      <c r="E146" t="inlineStr">
        <is>
          <t>GÖTENE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56340-2025</t>
        </is>
      </c>
      <c r="B147" s="1" t="n">
        <v>45974.64655092593</v>
      </c>
      <c r="C147" s="1" t="n">
        <v>46167</v>
      </c>
      <c r="D147" t="inlineStr">
        <is>
          <t>VÄSTRA GÖTALANDS LÄN</t>
        </is>
      </c>
      <c r="E147" t="inlineStr">
        <is>
          <t>GÖTENE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56417-2025</t>
        </is>
      </c>
      <c r="B148" s="1" t="n">
        <v>45975.34238425926</v>
      </c>
      <c r="C148" s="1" t="n">
        <v>46167</v>
      </c>
      <c r="D148" t="inlineStr">
        <is>
          <t>VÄSTRA GÖTALANDS LÄN</t>
        </is>
      </c>
      <c r="E148" t="inlineStr">
        <is>
          <t>GÖTENE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56367-2025</t>
        </is>
      </c>
      <c r="B149" s="1" t="n">
        <v>45974.67436342593</v>
      </c>
      <c r="C149" s="1" t="n">
        <v>46167</v>
      </c>
      <c r="D149" t="inlineStr">
        <is>
          <t>VÄSTRA GÖTALANDS LÄN</t>
        </is>
      </c>
      <c r="E149" t="inlineStr">
        <is>
          <t>GÖTENE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56346-2025</t>
        </is>
      </c>
      <c r="B150" s="1" t="n">
        <v>45974.64944444445</v>
      </c>
      <c r="C150" s="1" t="n">
        <v>46167</v>
      </c>
      <c r="D150" t="inlineStr">
        <is>
          <t>VÄSTRA GÖTALANDS LÄN</t>
        </is>
      </c>
      <c r="E150" t="inlineStr">
        <is>
          <t>GÖTENE</t>
        </is>
      </c>
      <c r="G150" t="n">
        <v>18.8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56350-2025</t>
        </is>
      </c>
      <c r="B151" s="1" t="n">
        <v>45974.65203703703</v>
      </c>
      <c r="C151" s="1" t="n">
        <v>46167</v>
      </c>
      <c r="D151" t="inlineStr">
        <is>
          <t>VÄSTRA GÖTALANDS LÄN</t>
        </is>
      </c>
      <c r="E151" t="inlineStr">
        <is>
          <t>GÖTENE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62510-2022</t>
        </is>
      </c>
      <c r="B152" s="1" t="n">
        <v>44924.60834490741</v>
      </c>
      <c r="C152" s="1" t="n">
        <v>46167</v>
      </c>
      <c r="D152" t="inlineStr">
        <is>
          <t>VÄSTRA GÖTALANDS LÄN</t>
        </is>
      </c>
      <c r="E152" t="inlineStr">
        <is>
          <t>GÖTENE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58517-2025</t>
        </is>
      </c>
      <c r="B153" s="1" t="n">
        <v>45985.70609953703</v>
      </c>
      <c r="C153" s="1" t="n">
        <v>46167</v>
      </c>
      <c r="D153" t="inlineStr">
        <is>
          <t>VÄSTRA GÖTALANDS LÄN</t>
        </is>
      </c>
      <c r="E153" t="inlineStr">
        <is>
          <t>GÖTENE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58520-2025</t>
        </is>
      </c>
      <c r="B154" s="1" t="n">
        <v>45985.70936342593</v>
      </c>
      <c r="C154" s="1" t="n">
        <v>46167</v>
      </c>
      <c r="D154" t="inlineStr">
        <is>
          <t>VÄSTRA GÖTALANDS LÄN</t>
        </is>
      </c>
      <c r="E154" t="inlineStr">
        <is>
          <t>GÖTENE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58766-2025</t>
        </is>
      </c>
      <c r="B155" s="1" t="n">
        <v>45986.66487268519</v>
      </c>
      <c r="C155" s="1" t="n">
        <v>46167</v>
      </c>
      <c r="D155" t="inlineStr">
        <is>
          <t>VÄSTRA GÖTALANDS LÄN</t>
        </is>
      </c>
      <c r="E155" t="inlineStr">
        <is>
          <t>GÖTENE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58767-2025</t>
        </is>
      </c>
      <c r="B156" s="1" t="n">
        <v>45986.66530092592</v>
      </c>
      <c r="C156" s="1" t="n">
        <v>46167</v>
      </c>
      <c r="D156" t="inlineStr">
        <is>
          <t>VÄSTRA GÖTALANDS LÄN</t>
        </is>
      </c>
      <c r="E156" t="inlineStr">
        <is>
          <t>GÖTENE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17876-2025</t>
        </is>
      </c>
      <c r="B157" s="1" t="n">
        <v>45758.64768518518</v>
      </c>
      <c r="C157" s="1" t="n">
        <v>46167</v>
      </c>
      <c r="D157" t="inlineStr">
        <is>
          <t>VÄSTRA GÖTALANDS LÄN</t>
        </is>
      </c>
      <c r="E157" t="inlineStr">
        <is>
          <t>GÖTENE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60559-2025</t>
        </is>
      </c>
      <c r="B158" s="1" t="n">
        <v>45995.78456018519</v>
      </c>
      <c r="C158" s="1" t="n">
        <v>46167</v>
      </c>
      <c r="D158" t="inlineStr">
        <is>
          <t>VÄSTRA GÖTALANDS LÄN</t>
        </is>
      </c>
      <c r="E158" t="inlineStr">
        <is>
          <t>GÖTENE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9761-2025</t>
        </is>
      </c>
      <c r="B159" s="1" t="n">
        <v>45716.47787037037</v>
      </c>
      <c r="C159" s="1" t="n">
        <v>46167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13170-2024</t>
        </is>
      </c>
      <c r="B160" s="1" t="n">
        <v>45386.40589120371</v>
      </c>
      <c r="C160" s="1" t="n">
        <v>46167</v>
      </c>
      <c r="D160" t="inlineStr">
        <is>
          <t>VÄSTRA GÖTALANDS LÄN</t>
        </is>
      </c>
      <c r="E160" t="inlineStr">
        <is>
          <t>GÖTENE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62296-2025</t>
        </is>
      </c>
      <c r="B161" s="1" t="n">
        <v>46006.64335648148</v>
      </c>
      <c r="C161" s="1" t="n">
        <v>46167</v>
      </c>
      <c r="D161" t="inlineStr">
        <is>
          <t>VÄSTRA GÖTALANDS LÄN</t>
        </is>
      </c>
      <c r="E161" t="inlineStr">
        <is>
          <t>GÖTENE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62390-2023</t>
        </is>
      </c>
      <c r="B162" s="1" t="n">
        <v>45268</v>
      </c>
      <c r="C162" s="1" t="n">
        <v>46167</v>
      </c>
      <c r="D162" t="inlineStr">
        <is>
          <t>VÄSTRA GÖTALANDS LÄN</t>
        </is>
      </c>
      <c r="E162" t="inlineStr">
        <is>
          <t>GÖTENE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62499-2022</t>
        </is>
      </c>
      <c r="B163" s="1" t="n">
        <v>44924.59118055556</v>
      </c>
      <c r="C163" s="1" t="n">
        <v>46167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741-2026</t>
        </is>
      </c>
      <c r="B164" s="1" t="n">
        <v>46029.66304398148</v>
      </c>
      <c r="C164" s="1" t="n">
        <v>46167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10958-2022</t>
        </is>
      </c>
      <c r="B165" s="1" t="n">
        <v>44628</v>
      </c>
      <c r="C165" s="1" t="n">
        <v>46167</v>
      </c>
      <c r="D165" t="inlineStr">
        <is>
          <t>VÄSTRA GÖTALANDS LÄN</t>
        </is>
      </c>
      <c r="E165" t="inlineStr">
        <is>
          <t>GÖTENE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45239-2022</t>
        </is>
      </c>
      <c r="B166" s="1" t="n">
        <v>44844</v>
      </c>
      <c r="C166" s="1" t="n">
        <v>46167</v>
      </c>
      <c r="D166" t="inlineStr">
        <is>
          <t>VÄSTRA GÖTALANDS LÄN</t>
        </is>
      </c>
      <c r="E166" t="inlineStr">
        <is>
          <t>GÖTENE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15426-2025</t>
        </is>
      </c>
      <c r="B167" s="1" t="n">
        <v>45747.4666087963</v>
      </c>
      <c r="C167" s="1" t="n">
        <v>46167</v>
      </c>
      <c r="D167" t="inlineStr">
        <is>
          <t>VÄSTRA GÖTALANDS LÄN</t>
        </is>
      </c>
      <c r="E167" t="inlineStr">
        <is>
          <t>GÖTENE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15442-2025</t>
        </is>
      </c>
      <c r="B168" s="1" t="n">
        <v>45747.48292824074</v>
      </c>
      <c r="C168" s="1" t="n">
        <v>46167</v>
      </c>
      <c r="D168" t="inlineStr">
        <is>
          <t>VÄSTRA GÖTALANDS LÄN</t>
        </is>
      </c>
      <c r="E168" t="inlineStr">
        <is>
          <t>GÖTENE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17219-2025</t>
        </is>
      </c>
      <c r="B169" s="1" t="n">
        <v>45756.45190972222</v>
      </c>
      <c r="C169" s="1" t="n">
        <v>46167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3960-2026</t>
        </is>
      </c>
      <c r="B170" s="1" t="n">
        <v>46044.34138888889</v>
      </c>
      <c r="C170" s="1" t="n">
        <v>46167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5044-2026</t>
        </is>
      </c>
      <c r="B171" s="1" t="n">
        <v>46049.46898148148</v>
      </c>
      <c r="C171" s="1" t="n">
        <v>46167</v>
      </c>
      <c r="D171" t="inlineStr">
        <is>
          <t>VÄSTRA GÖTALANDS LÄN</t>
        </is>
      </c>
      <c r="E171" t="inlineStr">
        <is>
          <t>GÖTENE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19083-2022</t>
        </is>
      </c>
      <c r="B172" s="1" t="n">
        <v>44691.48512731482</v>
      </c>
      <c r="C172" s="1" t="n">
        <v>46167</v>
      </c>
      <c r="D172" t="inlineStr">
        <is>
          <t>VÄSTRA GÖTALANDS LÄN</t>
        </is>
      </c>
      <c r="E172" t="inlineStr">
        <is>
          <t>GÖTENE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5690-2026</t>
        </is>
      </c>
      <c r="B173" s="1" t="n">
        <v>46051.49328703704</v>
      </c>
      <c r="C173" s="1" t="n">
        <v>46167</v>
      </c>
      <c r="D173" t="inlineStr">
        <is>
          <t>VÄSTRA GÖTALANDS LÄN</t>
        </is>
      </c>
      <c r="E173" t="inlineStr">
        <is>
          <t>GÖTENE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12450-2022</t>
        </is>
      </c>
      <c r="B174" s="1" t="n">
        <v>44638</v>
      </c>
      <c r="C174" s="1" t="n">
        <v>46167</v>
      </c>
      <c r="D174" t="inlineStr">
        <is>
          <t>VÄSTRA GÖTALANDS LÄN</t>
        </is>
      </c>
      <c r="E174" t="inlineStr">
        <is>
          <t>GÖTENE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21429-2022</t>
        </is>
      </c>
      <c r="B175" s="1" t="n">
        <v>44706</v>
      </c>
      <c r="C175" s="1" t="n">
        <v>46167</v>
      </c>
      <c r="D175" t="inlineStr">
        <is>
          <t>VÄSTRA GÖTALANDS LÄN</t>
        </is>
      </c>
      <c r="E175" t="inlineStr">
        <is>
          <t>GÖTENE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56169-2024</t>
        </is>
      </c>
      <c r="B176" s="1" t="n">
        <v>45624.55305555555</v>
      </c>
      <c r="C176" s="1" t="n">
        <v>46167</v>
      </c>
      <c r="D176" t="inlineStr">
        <is>
          <t>VÄSTRA GÖTALANDS LÄN</t>
        </is>
      </c>
      <c r="E176" t="inlineStr">
        <is>
          <t>GÖTENE</t>
        </is>
      </c>
      <c r="G176" t="n">
        <v>19.7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13279-2024</t>
        </is>
      </c>
      <c r="B177" s="1" t="n">
        <v>45386</v>
      </c>
      <c r="C177" s="1" t="n">
        <v>46167</v>
      </c>
      <c r="D177" t="inlineStr">
        <is>
          <t>VÄSTRA GÖTALANDS LÄN</t>
        </is>
      </c>
      <c r="E177" t="inlineStr">
        <is>
          <t>GÖTENE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49256-2023</t>
        </is>
      </c>
      <c r="B178" s="1" t="n">
        <v>45210.66854166667</v>
      </c>
      <c r="C178" s="1" t="n">
        <v>46167</v>
      </c>
      <c r="D178" t="inlineStr">
        <is>
          <t>VÄSTRA GÖTALANDS LÄN</t>
        </is>
      </c>
      <c r="E178" t="inlineStr">
        <is>
          <t>GÖTENE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14296-2023</t>
        </is>
      </c>
      <c r="B179" s="1" t="n">
        <v>45011</v>
      </c>
      <c r="C179" s="1" t="n">
        <v>46167</v>
      </c>
      <c r="D179" t="inlineStr">
        <is>
          <t>VÄSTRA GÖTALANDS LÄN</t>
        </is>
      </c>
      <c r="E179" t="inlineStr">
        <is>
          <t>GÖTENE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31969-2023</t>
        </is>
      </c>
      <c r="B180" s="1" t="n">
        <v>45119.41274305555</v>
      </c>
      <c r="C180" s="1" t="n">
        <v>46167</v>
      </c>
      <c r="D180" t="inlineStr">
        <is>
          <t>VÄSTRA GÖTALANDS LÄN</t>
        </is>
      </c>
      <c r="E180" t="inlineStr">
        <is>
          <t>GÖTENE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31978-2023</t>
        </is>
      </c>
      <c r="B181" s="1" t="n">
        <v>45119.42896990741</v>
      </c>
      <c r="C181" s="1" t="n">
        <v>46167</v>
      </c>
      <c r="D181" t="inlineStr">
        <is>
          <t>VÄSTRA GÖTALANDS LÄN</t>
        </is>
      </c>
      <c r="E181" t="inlineStr">
        <is>
          <t>GÖTENE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39150-2022</t>
        </is>
      </c>
      <c r="B182" s="1" t="n">
        <v>44817.48424768518</v>
      </c>
      <c r="C182" s="1" t="n">
        <v>46167</v>
      </c>
      <c r="D182" t="inlineStr">
        <is>
          <t>VÄSTRA GÖTALANDS LÄN</t>
        </is>
      </c>
      <c r="E182" t="inlineStr">
        <is>
          <t>GÖTENE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10623-2026</t>
        </is>
      </c>
      <c r="B183" s="1" t="n">
        <v>46078.28362268519</v>
      </c>
      <c r="C183" s="1" t="n">
        <v>46167</v>
      </c>
      <c r="D183" t="inlineStr">
        <is>
          <t>VÄSTRA GÖTALANDS LÄN</t>
        </is>
      </c>
      <c r="E183" t="inlineStr">
        <is>
          <t>GÖTENE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10625-2026</t>
        </is>
      </c>
      <c r="B184" s="1" t="n">
        <v>46078.28508101852</v>
      </c>
      <c r="C184" s="1" t="n">
        <v>46167</v>
      </c>
      <c r="D184" t="inlineStr">
        <is>
          <t>VÄSTRA GÖTALANDS LÄN</t>
        </is>
      </c>
      <c r="E184" t="inlineStr">
        <is>
          <t>GÖTENE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10631-2026</t>
        </is>
      </c>
      <c r="B185" s="1" t="n">
        <v>46078.29527777778</v>
      </c>
      <c r="C185" s="1" t="n">
        <v>46167</v>
      </c>
      <c r="D185" t="inlineStr">
        <is>
          <t>VÄSTRA GÖTALANDS LÄN</t>
        </is>
      </c>
      <c r="E185" t="inlineStr">
        <is>
          <t>GÖTENE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10634-2026</t>
        </is>
      </c>
      <c r="B186" s="1" t="n">
        <v>46078.30993055556</v>
      </c>
      <c r="C186" s="1" t="n">
        <v>46167</v>
      </c>
      <c r="D186" t="inlineStr">
        <is>
          <t>VÄSTRA GÖTALANDS LÄN</t>
        </is>
      </c>
      <c r="E186" t="inlineStr">
        <is>
          <t>GÖTENE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10635-2026</t>
        </is>
      </c>
      <c r="B187" s="1" t="n">
        <v>46078.31193287037</v>
      </c>
      <c r="C187" s="1" t="n">
        <v>46167</v>
      </c>
      <c r="D187" t="inlineStr">
        <is>
          <t>VÄSTRA GÖTALANDS LÄN</t>
        </is>
      </c>
      <c r="E187" t="inlineStr">
        <is>
          <t>GÖTENE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10628-2026</t>
        </is>
      </c>
      <c r="B188" s="1" t="n">
        <v>46078.29061342592</v>
      </c>
      <c r="C188" s="1" t="n">
        <v>46167</v>
      </c>
      <c r="D188" t="inlineStr">
        <is>
          <t>VÄSTRA GÖTALANDS LÄN</t>
        </is>
      </c>
      <c r="E188" t="inlineStr">
        <is>
          <t>GÖTENE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10633-2026</t>
        </is>
      </c>
      <c r="B189" s="1" t="n">
        <v>46078.30783564815</v>
      </c>
      <c r="C189" s="1" t="n">
        <v>46167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10626-2026</t>
        </is>
      </c>
      <c r="B190" s="1" t="n">
        <v>46078.28807870371</v>
      </c>
      <c r="C190" s="1" t="n">
        <v>46167</v>
      </c>
      <c r="D190" t="inlineStr">
        <is>
          <t>VÄSTRA GÖTALANDS LÄN</t>
        </is>
      </c>
      <c r="E190" t="inlineStr">
        <is>
          <t>GÖTENE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10630-2026</t>
        </is>
      </c>
      <c r="B191" s="1" t="n">
        <v>46078.29324074074</v>
      </c>
      <c r="C191" s="1" t="n">
        <v>46167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10636-2026</t>
        </is>
      </c>
      <c r="B192" s="1" t="n">
        <v>46078.31372685185</v>
      </c>
      <c r="C192" s="1" t="n">
        <v>46167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10637-2026</t>
        </is>
      </c>
      <c r="B193" s="1" t="n">
        <v>46078.31506944444</v>
      </c>
      <c r="C193" s="1" t="n">
        <v>46167</v>
      </c>
      <c r="D193" t="inlineStr">
        <is>
          <t>VÄSTRA GÖTALANDS LÄN</t>
        </is>
      </c>
      <c r="E193" t="inlineStr">
        <is>
          <t>GÖTENE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11459-2026</t>
        </is>
      </c>
      <c r="B194" s="1" t="n">
        <v>46083.56914351852</v>
      </c>
      <c r="C194" s="1" t="n">
        <v>46167</v>
      </c>
      <c r="D194" t="inlineStr">
        <is>
          <t>VÄSTRA GÖTALANDS LÄN</t>
        </is>
      </c>
      <c r="E194" t="inlineStr">
        <is>
          <t>GÖTENE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36472-2023</t>
        </is>
      </c>
      <c r="B195" s="1" t="n">
        <v>45152.68237268519</v>
      </c>
      <c r="C195" s="1" t="n">
        <v>46167</v>
      </c>
      <c r="D195" t="inlineStr">
        <is>
          <t>VÄSTRA GÖTALANDS LÄN</t>
        </is>
      </c>
      <c r="E195" t="inlineStr">
        <is>
          <t>GÖTENE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11460-2026</t>
        </is>
      </c>
      <c r="B196" s="1" t="n">
        <v>46083</v>
      </c>
      <c r="C196" s="1" t="n">
        <v>46167</v>
      </c>
      <c r="D196" t="inlineStr">
        <is>
          <t>VÄSTRA GÖTALANDS LÄN</t>
        </is>
      </c>
      <c r="E196" t="inlineStr">
        <is>
          <t>GÖTENE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11505-2026</t>
        </is>
      </c>
      <c r="B197" s="1" t="n">
        <v>46083.65195601852</v>
      </c>
      <c r="C197" s="1" t="n">
        <v>46167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11630-2026</t>
        </is>
      </c>
      <c r="B198" s="1" t="n">
        <v>46084.48100694444</v>
      </c>
      <c r="C198" s="1" t="n">
        <v>46167</v>
      </c>
      <c r="D198" t="inlineStr">
        <is>
          <t>VÄSTRA GÖTALANDS LÄN</t>
        </is>
      </c>
      <c r="E198" t="inlineStr">
        <is>
          <t>GÖTENE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18776-2026</t>
        </is>
      </c>
      <c r="B199" s="1" t="n">
        <v>46128.57417824074</v>
      </c>
      <c r="C199" s="1" t="n">
        <v>46167</v>
      </c>
      <c r="D199" t="inlineStr">
        <is>
          <t>VÄSTRA GÖTALANDS LÄN</t>
        </is>
      </c>
      <c r="E199" t="inlineStr">
        <is>
          <t>GÖTENE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3932-2022</t>
        </is>
      </c>
      <c r="B200" s="1" t="n">
        <v>44587.54376157407</v>
      </c>
      <c r="C200" s="1" t="n">
        <v>46167</v>
      </c>
      <c r="D200" t="inlineStr">
        <is>
          <t>VÄSTRA GÖTALANDS LÄN</t>
        </is>
      </c>
      <c r="E200" t="inlineStr">
        <is>
          <t>GÖTENE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68680-2021</t>
        </is>
      </c>
      <c r="B201" s="1" t="n">
        <v>44529</v>
      </c>
      <c r="C201" s="1" t="n">
        <v>46167</v>
      </c>
      <c r="D201" t="inlineStr">
        <is>
          <t>VÄSTRA GÖTALANDS LÄN</t>
        </is>
      </c>
      <c r="E201" t="inlineStr">
        <is>
          <t>GÖTENE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7225-2023</t>
        </is>
      </c>
      <c r="B202" s="1" t="n">
        <v>44970.59268518518</v>
      </c>
      <c r="C202" s="1" t="n">
        <v>46167</v>
      </c>
      <c r="D202" t="inlineStr">
        <is>
          <t>VÄSTRA GÖTALANDS LÄN</t>
        </is>
      </c>
      <c r="E202" t="inlineStr">
        <is>
          <t>GÖTENE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35408-2023</t>
        </is>
      </c>
      <c r="B203" s="1" t="n">
        <v>45146</v>
      </c>
      <c r="C203" s="1" t="n">
        <v>46167</v>
      </c>
      <c r="D203" t="inlineStr">
        <is>
          <t>VÄSTRA GÖTALANDS LÄN</t>
        </is>
      </c>
      <c r="E203" t="inlineStr">
        <is>
          <t>GÖTENE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13280-2024</t>
        </is>
      </c>
      <c r="B204" s="1" t="n">
        <v>45386</v>
      </c>
      <c r="C204" s="1" t="n">
        <v>46167</v>
      </c>
      <c r="D204" t="inlineStr">
        <is>
          <t>VÄSTRA GÖTALANDS LÄN</t>
        </is>
      </c>
      <c r="E204" t="inlineStr">
        <is>
          <t>GÖTENE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31981-2023</t>
        </is>
      </c>
      <c r="B205" s="1" t="n">
        <v>45119.43261574074</v>
      </c>
      <c r="C205" s="1" t="n">
        <v>46167</v>
      </c>
      <c r="D205" t="inlineStr">
        <is>
          <t>VÄSTRA GÖTALANDS LÄN</t>
        </is>
      </c>
      <c r="E205" t="inlineStr">
        <is>
          <t>GÖTENE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55511-2023</t>
        </is>
      </c>
      <c r="B206" s="1" t="n">
        <v>45238.57581018518</v>
      </c>
      <c r="C206" s="1" t="n">
        <v>46167</v>
      </c>
      <c r="D206" t="inlineStr">
        <is>
          <t>VÄSTRA GÖTALANDS LÄN</t>
        </is>
      </c>
      <c r="E206" t="inlineStr">
        <is>
          <t>GÖTENE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20507-2026</t>
        </is>
      </c>
      <c r="B207" s="1" t="n">
        <v>46140.53263888889</v>
      </c>
      <c r="C207" s="1" t="n">
        <v>46167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28258-2023</t>
        </is>
      </c>
      <c r="B208" s="1" t="n">
        <v>45099</v>
      </c>
      <c r="C208" s="1" t="n">
        <v>46167</v>
      </c>
      <c r="D208" t="inlineStr">
        <is>
          <t>VÄSTRA GÖTALANDS LÄN</t>
        </is>
      </c>
      <c r="E208" t="inlineStr">
        <is>
          <t>GÖTENE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28264-2023</t>
        </is>
      </c>
      <c r="B209" s="1" t="n">
        <v>45099</v>
      </c>
      <c r="C209" s="1" t="n">
        <v>46167</v>
      </c>
      <c r="D209" t="inlineStr">
        <is>
          <t>VÄSTRA GÖTALANDS LÄN</t>
        </is>
      </c>
      <c r="E209" t="inlineStr">
        <is>
          <t>GÖTENE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20812-2026</t>
        </is>
      </c>
      <c r="B210" s="1" t="n">
        <v>46141.71425925926</v>
      </c>
      <c r="C210" s="1" t="n">
        <v>46167</v>
      </c>
      <c r="D210" t="inlineStr">
        <is>
          <t>VÄSTRA GÖTALANDS LÄN</t>
        </is>
      </c>
      <c r="E210" t="inlineStr">
        <is>
          <t>GÖTENE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49252-2023</t>
        </is>
      </c>
      <c r="B211" s="1" t="n">
        <v>45210.66451388889</v>
      </c>
      <c r="C211" s="1" t="n">
        <v>46167</v>
      </c>
      <c r="D211" t="inlineStr">
        <is>
          <t>VÄSTRA GÖTALANDS LÄN</t>
        </is>
      </c>
      <c r="E211" t="inlineStr">
        <is>
          <t>GÖTENE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20811-2026</t>
        </is>
      </c>
      <c r="B212" s="1" t="n">
        <v>46141.71302083333</v>
      </c>
      <c r="C212" s="1" t="n">
        <v>46167</v>
      </c>
      <c r="D212" t="inlineStr">
        <is>
          <t>VÄSTRA GÖTALANDS LÄN</t>
        </is>
      </c>
      <c r="E212" t="inlineStr">
        <is>
          <t>GÖTENE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20710-2026</t>
        </is>
      </c>
      <c r="B213" s="1" t="n">
        <v>46141.49472222223</v>
      </c>
      <c r="C213" s="1" t="n">
        <v>46167</v>
      </c>
      <c r="D213" t="inlineStr">
        <is>
          <t>VÄSTRA GÖTALANDS LÄN</t>
        </is>
      </c>
      <c r="E213" t="inlineStr">
        <is>
          <t>GÖTENE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20700-2026</t>
        </is>
      </c>
      <c r="B214" s="1" t="n">
        <v>46141.475</v>
      </c>
      <c r="C214" s="1" t="n">
        <v>46167</v>
      </c>
      <c r="D214" t="inlineStr">
        <is>
          <t>VÄSTRA GÖTALANDS LÄN</t>
        </is>
      </c>
      <c r="E214" t="inlineStr">
        <is>
          <t>GÖTENE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28335-2023</t>
        </is>
      </c>
      <c r="B215" s="1" t="n">
        <v>45099.74278935185</v>
      </c>
      <c r="C215" s="1" t="n">
        <v>46167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13281-2024</t>
        </is>
      </c>
      <c r="B216" s="1" t="n">
        <v>45386</v>
      </c>
      <c r="C216" s="1" t="n">
        <v>46167</v>
      </c>
      <c r="D216" t="inlineStr">
        <is>
          <t>VÄSTRA GÖTALANDS LÄN</t>
        </is>
      </c>
      <c r="E216" t="inlineStr">
        <is>
          <t>GÖTENE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58650-2023</t>
        </is>
      </c>
      <c r="B217" s="1" t="n">
        <v>45251.59912037037</v>
      </c>
      <c r="C217" s="1" t="n">
        <v>46167</v>
      </c>
      <c r="D217" t="inlineStr">
        <is>
          <t>VÄSTRA GÖTALANDS LÄN</t>
        </is>
      </c>
      <c r="E217" t="inlineStr">
        <is>
          <t>GÖTENE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36304-2023</t>
        </is>
      </c>
      <c r="B218" s="1" t="n">
        <v>45152.37777777778</v>
      </c>
      <c r="C218" s="1" t="n">
        <v>46167</v>
      </c>
      <c r="D218" t="inlineStr">
        <is>
          <t>VÄSTRA GÖTALANDS LÄN</t>
        </is>
      </c>
      <c r="E218" t="inlineStr">
        <is>
          <t>GÖTENE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49536-2021</t>
        </is>
      </c>
      <c r="B219" s="1" t="n">
        <v>44455.33650462963</v>
      </c>
      <c r="C219" s="1" t="n">
        <v>46167</v>
      </c>
      <c r="D219" t="inlineStr">
        <is>
          <t>VÄSTRA GÖTALANDS LÄN</t>
        </is>
      </c>
      <c r="E219" t="inlineStr">
        <is>
          <t>GÖTENE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21369-2026</t>
        </is>
      </c>
      <c r="B220" s="1" t="n">
        <v>46147.65364583334</v>
      </c>
      <c r="C220" s="1" t="n">
        <v>46167</v>
      </c>
      <c r="D220" t="inlineStr">
        <is>
          <t>VÄSTRA GÖTALANDS LÄN</t>
        </is>
      </c>
      <c r="E220" t="inlineStr">
        <is>
          <t>GÖTENE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21376-2026</t>
        </is>
      </c>
      <c r="B221" s="1" t="n">
        <v>46147.66153935185</v>
      </c>
      <c r="C221" s="1" t="n">
        <v>46167</v>
      </c>
      <c r="D221" t="inlineStr">
        <is>
          <t>VÄSTRA GÖTALANDS LÄN</t>
        </is>
      </c>
      <c r="E221" t="inlineStr">
        <is>
          <t>GÖTENE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59074-2023</t>
        </is>
      </c>
      <c r="B222" s="1" t="n">
        <v>45252.87451388889</v>
      </c>
      <c r="C222" s="1" t="n">
        <v>46167</v>
      </c>
      <c r="D222" t="inlineStr">
        <is>
          <t>VÄSTRA GÖTALANDS LÄN</t>
        </is>
      </c>
      <c r="E222" t="inlineStr">
        <is>
          <t>GÖTENE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15428-2025</t>
        </is>
      </c>
      <c r="B223" s="1" t="n">
        <v>45747.46989583333</v>
      </c>
      <c r="C223" s="1" t="n">
        <v>46167</v>
      </c>
      <c r="D223" t="inlineStr">
        <is>
          <t>VÄSTRA GÖTALANDS LÄN</t>
        </is>
      </c>
      <c r="E223" t="inlineStr">
        <is>
          <t>GÖTENE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15434-2025</t>
        </is>
      </c>
      <c r="B224" s="1" t="n">
        <v>45747.47193287037</v>
      </c>
      <c r="C224" s="1" t="n">
        <v>46167</v>
      </c>
      <c r="D224" t="inlineStr">
        <is>
          <t>VÄSTRA GÖTALANDS LÄN</t>
        </is>
      </c>
      <c r="E224" t="inlineStr">
        <is>
          <t>GÖTENE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11771-2024</t>
        </is>
      </c>
      <c r="B225" s="1" t="n">
        <v>45373</v>
      </c>
      <c r="C225" s="1" t="n">
        <v>46167</v>
      </c>
      <c r="D225" t="inlineStr">
        <is>
          <t>VÄSTRA GÖTALANDS LÄN</t>
        </is>
      </c>
      <c r="E225" t="inlineStr">
        <is>
          <t>GÖTENE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58417-2024</t>
        </is>
      </c>
      <c r="B226" s="1" t="n">
        <v>45634.83702546296</v>
      </c>
      <c r="C226" s="1" t="n">
        <v>46167</v>
      </c>
      <c r="D226" t="inlineStr">
        <is>
          <t>VÄSTRA GÖTALANDS LÄN</t>
        </is>
      </c>
      <c r="E226" t="inlineStr">
        <is>
          <t>GÖTENE</t>
        </is>
      </c>
      <c r="F226" t="inlineStr">
        <is>
          <t>Kommuner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13345-2022</t>
        </is>
      </c>
      <c r="B227" s="1" t="n">
        <v>44645</v>
      </c>
      <c r="C227" s="1" t="n">
        <v>46167</v>
      </c>
      <c r="D227" t="inlineStr">
        <is>
          <t>VÄSTRA GÖTALANDS LÄN</t>
        </is>
      </c>
      <c r="E227" t="inlineStr">
        <is>
          <t>GÖTENE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64712-2023</t>
        </is>
      </c>
      <c r="B228" s="1" t="n">
        <v>45281.68771990741</v>
      </c>
      <c r="C228" s="1" t="n">
        <v>46167</v>
      </c>
      <c r="D228" t="inlineStr">
        <is>
          <t>VÄSTRA GÖTALANDS LÄN</t>
        </is>
      </c>
      <c r="E228" t="inlineStr">
        <is>
          <t>GÖTENE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39081-2022</t>
        </is>
      </c>
      <c r="B229" s="1" t="n">
        <v>44817.40581018518</v>
      </c>
      <c r="C229" s="1" t="n">
        <v>46167</v>
      </c>
      <c r="D229" t="inlineStr">
        <is>
          <t>VÄSTRA GÖTALANDS LÄN</t>
        </is>
      </c>
      <c r="E229" t="inlineStr">
        <is>
          <t>GÖTENE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61294-2024</t>
        </is>
      </c>
      <c r="B230" s="1" t="n">
        <v>45645.83722222222</v>
      </c>
      <c r="C230" s="1" t="n">
        <v>46167</v>
      </c>
      <c r="D230" t="inlineStr">
        <is>
          <t>VÄSTRA GÖTALANDS LÄN</t>
        </is>
      </c>
      <c r="E230" t="inlineStr">
        <is>
          <t>GÖTENE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62402-2023</t>
        </is>
      </c>
      <c r="B231" s="1" t="n">
        <v>45268.36413194444</v>
      </c>
      <c r="C231" s="1" t="n">
        <v>46167</v>
      </c>
      <c r="D231" t="inlineStr">
        <is>
          <t>VÄSTRA GÖTALANDS LÄN</t>
        </is>
      </c>
      <c r="E231" t="inlineStr">
        <is>
          <t>GÖTENE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1352-2023</t>
        </is>
      </c>
      <c r="B232" s="1" t="n">
        <v>44931</v>
      </c>
      <c r="C232" s="1" t="n">
        <v>46167</v>
      </c>
      <c r="D232" t="inlineStr">
        <is>
          <t>VÄSTRA GÖTALANDS LÄN</t>
        </is>
      </c>
      <c r="E232" t="inlineStr">
        <is>
          <t>GÖTENE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9762-2025</t>
        </is>
      </c>
      <c r="B233" s="1" t="n">
        <v>45716.47924768519</v>
      </c>
      <c r="C233" s="1" t="n">
        <v>46167</v>
      </c>
      <c r="D233" t="inlineStr">
        <is>
          <t>VÄSTRA GÖTALANDS LÄN</t>
        </is>
      </c>
      <c r="E233" t="inlineStr">
        <is>
          <t>GÖTENE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19093-2025</t>
        </is>
      </c>
      <c r="B234" s="1" t="n">
        <v>45767.49024305555</v>
      </c>
      <c r="C234" s="1" t="n">
        <v>46167</v>
      </c>
      <c r="D234" t="inlineStr">
        <is>
          <t>VÄSTRA GÖTALANDS LÄN</t>
        </is>
      </c>
      <c r="E234" t="inlineStr">
        <is>
          <t>GÖTENE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45099.72846064815</v>
      </c>
      <c r="C235" s="1" t="n">
        <v>46167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44033-2024</t>
        </is>
      </c>
      <c r="B236" s="1" t="n">
        <v>45572</v>
      </c>
      <c r="C236" s="1" t="n">
        <v>46167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72879-2021</t>
        </is>
      </c>
      <c r="B237" s="1" t="n">
        <v>44547</v>
      </c>
      <c r="C237" s="1" t="n">
        <v>46167</v>
      </c>
      <c r="D237" t="inlineStr">
        <is>
          <t>VÄSTRA GÖTALANDS LÄN</t>
        </is>
      </c>
      <c r="E237" t="inlineStr">
        <is>
          <t>GÖTENE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28267-2023</t>
        </is>
      </c>
      <c r="B238" s="1" t="n">
        <v>45099</v>
      </c>
      <c r="C238" s="1" t="n">
        <v>46167</v>
      </c>
      <c r="D238" t="inlineStr">
        <is>
          <t>VÄSTRA GÖTALANDS LÄN</t>
        </is>
      </c>
      <c r="E238" t="inlineStr">
        <is>
          <t>GÖTENE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28273-2023</t>
        </is>
      </c>
      <c r="B239" s="1" t="n">
        <v>45099.62096064815</v>
      </c>
      <c r="C239" s="1" t="n">
        <v>46167</v>
      </c>
      <c r="D239" t="inlineStr">
        <is>
          <t>VÄSTRA GÖTALANDS LÄN</t>
        </is>
      </c>
      <c r="E239" t="inlineStr">
        <is>
          <t>GÖTENE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21285-2024</t>
        </is>
      </c>
      <c r="B240" s="1" t="n">
        <v>45440.65799768519</v>
      </c>
      <c r="C240" s="1" t="n">
        <v>46167</v>
      </c>
      <c r="D240" t="inlineStr">
        <is>
          <t>VÄSTRA GÖTALANDS LÄN</t>
        </is>
      </c>
      <c r="E240" t="inlineStr">
        <is>
          <t>GÖTENE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15696-2025</t>
        </is>
      </c>
      <c r="B241" s="1" t="n">
        <v>45748.46936342592</v>
      </c>
      <c r="C241" s="1" t="n">
        <v>46167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28316-2024</t>
        </is>
      </c>
      <c r="B242" s="1" t="n">
        <v>45477.50171296296</v>
      </c>
      <c r="C242" s="1" t="n">
        <v>46167</v>
      </c>
      <c r="D242" t="inlineStr">
        <is>
          <t>VÄSTRA GÖTALANDS LÄN</t>
        </is>
      </c>
      <c r="E242" t="inlineStr">
        <is>
          <t>GÖTENE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21269-2024</t>
        </is>
      </c>
      <c r="B243" s="1" t="n">
        <v>45440.64200231482</v>
      </c>
      <c r="C243" s="1" t="n">
        <v>46167</v>
      </c>
      <c r="D243" t="inlineStr">
        <is>
          <t>VÄSTRA GÖTALANDS LÄN</t>
        </is>
      </c>
      <c r="E243" t="inlineStr">
        <is>
          <t>GÖTENE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12664-2023</t>
        </is>
      </c>
      <c r="B244" s="1" t="n">
        <v>45000</v>
      </c>
      <c r="C244" s="1" t="n">
        <v>46167</v>
      </c>
      <c r="D244" t="inlineStr">
        <is>
          <t>VÄSTRA GÖTALANDS LÄN</t>
        </is>
      </c>
      <c r="E244" t="inlineStr">
        <is>
          <t>GÖTENE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16341-2025</t>
        </is>
      </c>
      <c r="B245" s="1" t="n">
        <v>45751</v>
      </c>
      <c r="C245" s="1" t="n">
        <v>46167</v>
      </c>
      <c r="D245" t="inlineStr">
        <is>
          <t>VÄSTRA GÖTALANDS LÄN</t>
        </is>
      </c>
      <c r="E245" t="inlineStr">
        <is>
          <t>GÖTENE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10668-2025</t>
        </is>
      </c>
      <c r="B246" s="1" t="n">
        <v>45721.77831018518</v>
      </c>
      <c r="C246" s="1" t="n">
        <v>46167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12656-2025</t>
        </is>
      </c>
      <c r="B247" s="1" t="n">
        <v>45733.41709490741</v>
      </c>
      <c r="C247" s="1" t="n">
        <v>46167</v>
      </c>
      <c r="D247" t="inlineStr">
        <is>
          <t>VÄSTRA GÖTALANDS LÄN</t>
        </is>
      </c>
      <c r="E247" t="inlineStr">
        <is>
          <t>GÖTENE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25434-2025</t>
        </is>
      </c>
      <c r="B248" s="1" t="n">
        <v>45800.8074537037</v>
      </c>
      <c r="C248" s="1" t="n">
        <v>46167</v>
      </c>
      <c r="D248" t="inlineStr">
        <is>
          <t>VÄSTRA GÖTALANDS LÄN</t>
        </is>
      </c>
      <c r="E248" t="inlineStr">
        <is>
          <t>GÖTENE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25594-2025</t>
        </is>
      </c>
      <c r="B249" s="1" t="n">
        <v>45803</v>
      </c>
      <c r="C249" s="1" t="n">
        <v>46167</v>
      </c>
      <c r="D249" t="inlineStr">
        <is>
          <t>VÄSTRA GÖTALANDS LÄN</t>
        </is>
      </c>
      <c r="E249" t="inlineStr">
        <is>
          <t>GÖTENE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25435-2025</t>
        </is>
      </c>
      <c r="B250" s="1" t="n">
        <v>45800.81108796296</v>
      </c>
      <c r="C250" s="1" t="n">
        <v>46167</v>
      </c>
      <c r="D250" t="inlineStr">
        <is>
          <t>VÄSTRA GÖTALANDS LÄN</t>
        </is>
      </c>
      <c r="E250" t="inlineStr">
        <is>
          <t>GÖTENE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25436-2025</t>
        </is>
      </c>
      <c r="B251" s="1" t="n">
        <v>45800.81622685185</v>
      </c>
      <c r="C251" s="1" t="n">
        <v>46167</v>
      </c>
      <c r="D251" t="inlineStr">
        <is>
          <t>VÄSTRA GÖTALANDS LÄN</t>
        </is>
      </c>
      <c r="E251" t="inlineStr">
        <is>
          <t>GÖTENE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26035-2025</t>
        </is>
      </c>
      <c r="B252" s="1" t="n">
        <v>45804</v>
      </c>
      <c r="C252" s="1" t="n">
        <v>46167</v>
      </c>
      <c r="D252" t="inlineStr">
        <is>
          <t>VÄSTRA GÖTALANDS LÄN</t>
        </is>
      </c>
      <c r="E252" t="inlineStr">
        <is>
          <t>GÖTENE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26029-2025</t>
        </is>
      </c>
      <c r="B253" s="1" t="n">
        <v>45804</v>
      </c>
      <c r="C253" s="1" t="n">
        <v>46167</v>
      </c>
      <c r="D253" t="inlineStr">
        <is>
          <t>VÄSTRA GÖTALANDS LÄN</t>
        </is>
      </c>
      <c r="E253" t="inlineStr">
        <is>
          <t>GÖTENE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25780-2025</t>
        </is>
      </c>
      <c r="B254" s="1" t="n">
        <v>45804.36298611111</v>
      </c>
      <c r="C254" s="1" t="n">
        <v>46167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Sveaskog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26105-2025</t>
        </is>
      </c>
      <c r="B255" s="1" t="n">
        <v>45805</v>
      </c>
      <c r="C255" s="1" t="n">
        <v>46167</v>
      </c>
      <c r="D255" t="inlineStr">
        <is>
          <t>VÄSTRA GÖTALANDS LÄN</t>
        </is>
      </c>
      <c r="E255" t="inlineStr">
        <is>
          <t>GÖTENE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10703-2025</t>
        </is>
      </c>
      <c r="B256" s="1" t="n">
        <v>45722.33243055556</v>
      </c>
      <c r="C256" s="1" t="n">
        <v>46167</v>
      </c>
      <c r="D256" t="inlineStr">
        <is>
          <t>VÄSTRA GÖTALANDS LÄN</t>
        </is>
      </c>
      <c r="E256" t="inlineStr">
        <is>
          <t>GÖTENE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28390-2025</t>
        </is>
      </c>
      <c r="B257" s="1" t="n">
        <v>45819.32724537037</v>
      </c>
      <c r="C257" s="1" t="n">
        <v>46167</v>
      </c>
      <c r="D257" t="inlineStr">
        <is>
          <t>VÄSTRA GÖTALANDS LÄN</t>
        </is>
      </c>
      <c r="E257" t="inlineStr">
        <is>
          <t>GÖTENE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31258-2025</t>
        </is>
      </c>
      <c r="B258" s="1" t="n">
        <v>45833.32134259259</v>
      </c>
      <c r="C258" s="1" t="n">
        <v>46167</v>
      </c>
      <c r="D258" t="inlineStr">
        <is>
          <t>VÄSTRA GÖTALANDS LÄN</t>
        </is>
      </c>
      <c r="E258" t="inlineStr">
        <is>
          <t>GÖTENE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32909-2025</t>
        </is>
      </c>
      <c r="B259" s="1" t="n">
        <v>45839.63256944445</v>
      </c>
      <c r="C259" s="1" t="n">
        <v>46167</v>
      </c>
      <c r="D259" t="inlineStr">
        <is>
          <t>VÄSTRA GÖTALANDS LÄN</t>
        </is>
      </c>
      <c r="E259" t="inlineStr">
        <is>
          <t>GÖTENE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32967-2025</t>
        </is>
      </c>
      <c r="B260" s="1" t="n">
        <v>45839.72451388889</v>
      </c>
      <c r="C260" s="1" t="n">
        <v>46167</v>
      </c>
      <c r="D260" t="inlineStr">
        <is>
          <t>VÄSTRA GÖTALANDS LÄN</t>
        </is>
      </c>
      <c r="E260" t="inlineStr">
        <is>
          <t>GÖTENE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34161-2025</t>
        </is>
      </c>
      <c r="B261" s="1" t="n">
        <v>45845.57840277778</v>
      </c>
      <c r="C261" s="1" t="n">
        <v>46167</v>
      </c>
      <c r="D261" t="inlineStr">
        <is>
          <t>VÄSTRA GÖTALANDS LÄN</t>
        </is>
      </c>
      <c r="E261" t="inlineStr">
        <is>
          <t>GÖTENE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2026-05-25T10:55:33Z</dcterms:created>
  <dcterms:modified xmlns:dcterms="http://purl.org/dc/terms/" xmlns:xsi="http://www.w3.org/2001/XMLSchema-instance" xsi:type="dcterms:W3CDTF">2026-05-25T10:55:33Z</dcterms:modified>
</cp:coreProperties>
</file>