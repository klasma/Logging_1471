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46308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46308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46308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46308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46308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46308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46308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46308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46308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46308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46308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28273-2023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46308</v>
      </c>
      <c r="F18" t="inlineStr">
        <is>
          <t>VÄSTRA GÖTALANDS LÄN</t>
        </is>
      </c>
      <c r="G18" t="inlineStr">
        <is>
          <t>GÖTENE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Åkergroda</t>
        </is>
      </c>
      <c r="W18">
        <f>HYPERLINK("https://klasma.github.io/Logging_1471/artfynd/A 28273-2023 artfynd.xlsx", "A 28273-2023")</f>
        <v/>
      </c>
      <c r="X18">
        <f>HYPERLINK("https://klasma.github.io/Logging_1471/kartor/A 28273-2023 karta.png", "A 28273-2023")</f>
        <v/>
      </c>
      <c r="Y18">
        <f>HYPERLINK("https://klasma.github.io/Logging_1471/kartor_geotiff/A 28273-2023 georefererad karta.tif", "A 28273-2023")</f>
        <v/>
      </c>
      <c r="AA18">
        <f>HYPERLINK("https://klasma.github.io/Logging_1471/klagomål/A 28273-2023 FSC-klagomål.docx", "A 28273-2023")</f>
        <v/>
      </c>
      <c r="AB18">
        <f>HYPERLINK("https://klasma.github.io/Logging_1471/klagomålsmail/A 28273-2023 FSC-klagomål mail.docx", "A 28273-2023")</f>
        <v/>
      </c>
      <c r="AC18">
        <f>HYPERLINK("https://klasma.github.io/Logging_1471/tillsyn/A 28273-2023 tillsynsbegäran.docx", "A 28273-2023")</f>
        <v/>
      </c>
      <c r="AD18">
        <f>HYPERLINK("https://klasma.github.io/Logging_1471/tillsynsmail/A 28273-2023 tillsynsbegäran mail.docx", "A 28273-2023")</f>
        <v/>
      </c>
    </row>
    <row r="19" ht="15" customHeight="1">
      <c r="A19" t="inlineStr">
        <is>
          <t>A 31326-2026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46219</v>
      </c>
      <c r="E19" s="1" t="n">
        <v>46308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Talltita</t>
        </is>
      </c>
      <c r="W19">
        <f>HYPERLINK("https://klasma.github.io/Logging_1471/artfynd/A 31326-2026 artfynd.xlsx", "A 31326-2026")</f>
        <v/>
      </c>
      <c r="X19">
        <f>HYPERLINK("https://klasma.github.io/Logging_1471/kartor/A 31326-2026 karta.png", "A 31326-2026")</f>
        <v/>
      </c>
      <c r="Y19">
        <f>HYPERLINK("https://klasma.github.io/Logging_1471/kartor_geotiff/A 31326-2026 georefererad karta.tif", "A 31326-2026")</f>
        <v/>
      </c>
      <c r="AA19">
        <f>HYPERLINK("https://klasma.github.io/Logging_1471/klagomål/A 31326-2026 FSC-klagomål.docx", "A 31326-2026")</f>
        <v/>
      </c>
      <c r="AB19">
        <f>HYPERLINK("https://klasma.github.io/Logging_1471/klagomålsmail/A 31326-2026 FSC-klagomål mail.docx", "A 31326-2026")</f>
        <v/>
      </c>
      <c r="AC19">
        <f>HYPERLINK("https://klasma.github.io/Logging_1471/tillsyn/A 31326-2026 tillsynsbegäran.docx", "A 31326-2026")</f>
        <v/>
      </c>
      <c r="AD19">
        <f>HYPERLINK("https://klasma.github.io/Logging_1471/tillsynsmail/A 31326-2026 tillsynsbegäran mail.docx", "A 31326-2026")</f>
        <v/>
      </c>
      <c r="AE19">
        <f>HYPERLINK("https://klasma.github.io/Logging_1471/fåglar/A 31326-2026 prioriterade fågelarter.docx", "A 31326-2026")</f>
        <v/>
      </c>
    </row>
    <row r="20" ht="15" customHeight="1">
      <c r="A20" t="inlineStr">
        <is>
          <t>A 32224-2026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46237</v>
      </c>
      <c r="E20" s="1" t="n">
        <v>46308</v>
      </c>
      <c r="F20" t="inlineStr">
        <is>
          <t>VÄSTRA GÖTALANDS LÄN</t>
        </is>
      </c>
      <c r="G20" t="inlineStr">
        <is>
          <t>GÖTENE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Backmåra</t>
        </is>
      </c>
      <c r="W20">
        <f>HYPERLINK("https://klasma.github.io/Logging_1471/artfynd/A 32224-2026 artfynd.xlsx", "A 32224-2026")</f>
        <v/>
      </c>
      <c r="X20">
        <f>HYPERLINK("https://klasma.github.io/Logging_1471/kartor/A 32224-2026 karta.png", "A 32224-2026")</f>
        <v/>
      </c>
      <c r="Y20">
        <f>HYPERLINK("https://klasma.github.io/Logging_1471/kartor_geotiff/A 32224-2026 georefererad karta.tif", "A 32224-2026")</f>
        <v/>
      </c>
      <c r="AA20">
        <f>HYPERLINK("https://klasma.github.io/Logging_1471/klagomål/A 32224-2026 FSC-klagomål.docx", "A 32224-2026")</f>
        <v/>
      </c>
      <c r="AB20">
        <f>HYPERLINK("https://klasma.github.io/Logging_1471/klagomålsmail/A 32224-2026 FSC-klagomål mail.docx", "A 32224-2026")</f>
        <v/>
      </c>
      <c r="AC20">
        <f>HYPERLINK("https://klasma.github.io/Logging_1471/tillsyn/A 32224-2026 tillsynsbegäran.docx", "A 32224-2026")</f>
        <v/>
      </c>
      <c r="AD20">
        <f>HYPERLINK("https://klasma.github.io/Logging_1471/tillsynsmail/A 32224-2026 tillsynsbegäran mail.docx", "A 32224-2026")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46308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33478-2026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46308</v>
      </c>
      <c r="F22" t="inlineStr">
        <is>
          <t>VÄSTRA GÖTALANDS LÄN</t>
        </is>
      </c>
      <c r="G22" t="inlineStr">
        <is>
          <t>GÖTENE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jordstjärna</t>
        </is>
      </c>
      <c r="W22">
        <f>HYPERLINK("https://klasma.github.io/Logging_1471/artfynd/A 33478-2026 artfynd.xlsx", "A 33478-2026")</f>
        <v/>
      </c>
      <c r="X22">
        <f>HYPERLINK("https://klasma.github.io/Logging_1471/kartor/A 33478-2026 karta.png", "A 33478-2026")</f>
        <v/>
      </c>
      <c r="Y22">
        <f>HYPERLINK("https://klasma.github.io/Logging_1471/kartor_geotiff/A 33478-2026 georefererad karta.tif", "A 33478-2026")</f>
        <v/>
      </c>
      <c r="AA22">
        <f>HYPERLINK("https://klasma.github.io/Logging_1471/klagomål/A 33478-2026 FSC-klagomål.docx", "A 33478-2026")</f>
        <v/>
      </c>
      <c r="AB22">
        <f>HYPERLINK("https://klasma.github.io/Logging_1471/klagomålsmail/A 33478-2026 FSC-klagomål mail.docx", "A 33478-2026")</f>
        <v/>
      </c>
      <c r="AC22">
        <f>HYPERLINK("https://klasma.github.io/Logging_1471/tillsyn/A 33478-2026 tillsynsbegäran.docx", "A 33478-2026")</f>
        <v/>
      </c>
      <c r="AD22">
        <f>HYPERLINK("https://klasma.github.io/Logging_1471/tillsynsmail/A 33478-2026 tillsynsbegäran mail.docx", "A 33478-2026")</f>
        <v/>
      </c>
    </row>
    <row r="23" ht="15" customHeight="1">
      <c r="A23" t="inlineStr">
        <is>
          <t>A 41724-2022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44827</v>
      </c>
      <c r="E23" s="1" t="n">
        <v>46308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HYPERLINK("https://klasma.github.io/Logging_1471/artfynd/A 41724-2022 artfynd.xlsx", "A 41724-2022")</f>
        <v/>
      </c>
      <c r="X23">
        <f>HYPERLINK("https://klasma.github.io/Logging_1471/kartor/A 41724-2022 karta.png", "A 41724-2022")</f>
        <v/>
      </c>
      <c r="Y23">
        <f>HYPERLINK("https://klasma.github.io/Logging_1471/kartor_geotiff/A 41724-2022 georefererad karta.tif", "A 41724-2022")</f>
        <v/>
      </c>
      <c r="AA23">
        <f>HYPERLINK("https://klasma.github.io/Logging_1471/klagomål/A 41724-2022 FSC-klagomål.docx", "A 41724-2022")</f>
        <v/>
      </c>
      <c r="AB23">
        <f>HYPERLINK("https://klasma.github.io/Logging_1471/klagomålsmail/A 41724-2022 FSC-klagomål mail.docx", "A 41724-2022")</f>
        <v/>
      </c>
      <c r="AC23">
        <f>HYPERLINK("https://klasma.github.io/Logging_1471/tillsyn/A 41724-2022 tillsynsbegäran.docx", "A 41724-2022")</f>
        <v/>
      </c>
      <c r="AD23">
        <f>HYPERLINK("https://klasma.github.io/Logging_1471/tillsynsmail/A 41724-2022 tillsynsbegäran mail.docx", "A 41724-2022")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46308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46308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19083-2022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46308</v>
      </c>
      <c r="F26" t="inlineStr">
        <is>
          <t>VÄSTRA GÖTALANDS LÄN</t>
        </is>
      </c>
      <c r="G26" t="inlineStr">
        <is>
          <t>GÖTENE</t>
        </is>
      </c>
      <c r="I26" t="n">
        <v>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Läderbagge</t>
        </is>
      </c>
      <c r="W26">
        <f>HYPERLINK("https://klasma.github.io/Logging_1471/artfynd/A 19083-2022 artfynd.xlsx", "A 19083-2022")</f>
        <v/>
      </c>
      <c r="X26">
        <f>HYPERLINK("https://klasma.github.io/Logging_1471/kartor/A 19083-2022 karta.png", "A 19083-2022")</f>
        <v/>
      </c>
      <c r="Y26">
        <f>HYPERLINK("https://klasma.github.io/Logging_1471/kartor_geotiff/A 19083-2022 georefererad karta.tif", "A 19083-2022")</f>
        <v/>
      </c>
      <c r="AA26">
        <f>HYPERLINK("https://klasma.github.io/Logging_1471/klagomål/A 19083-2022 FSC-klagomål.docx", "A 19083-2022")</f>
        <v/>
      </c>
      <c r="AB26">
        <f>HYPERLINK("https://klasma.github.io/Logging_1471/klagomålsmail/A 19083-2022 FSC-klagomål mail.docx", "A 19083-2022")</f>
        <v/>
      </c>
      <c r="AC26">
        <f>HYPERLINK("https://klasma.github.io/Logging_1471/tillsyn/A 19083-2022 tillsynsbegäran.docx", "A 19083-2022")</f>
        <v/>
      </c>
      <c r="AD26">
        <f>HYPERLINK("https://klasma.github.io/Logging_1471/tillsynsmail/A 19083-2022 tillsynsbegäran mail.docx", "A 19083-2022")</f>
        <v/>
      </c>
    </row>
    <row r="27" ht="15" customHeight="1">
      <c r="A27" t="inlineStr">
        <is>
          <t>A 14296-2023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45011</v>
      </c>
      <c r="E27" s="1" t="n">
        <v>46308</v>
      </c>
      <c r="F27" t="inlineStr">
        <is>
          <t>VÄSTRA GÖTALANDS LÄN</t>
        </is>
      </c>
      <c r="G27" t="inlineStr">
        <is>
          <t>GÖTENE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Pilgrimsfalk</t>
        </is>
      </c>
      <c r="W27">
        <f>HYPERLINK("https://klasma.github.io/Logging_1471/artfynd/A 14296-2023 artfynd.xlsx", "A 14296-2023")</f>
        <v/>
      </c>
      <c r="X27">
        <f>HYPERLINK("https://klasma.github.io/Logging_1471/kartor/A 14296-2023 karta.png", "A 14296-2023")</f>
        <v/>
      </c>
      <c r="Y27">
        <f>HYPERLINK("https://klasma.github.io/Logging_1471/kartor_geotiff/A 14296-2023 georefererad karta.tif", "A 14296-2023")</f>
        <v/>
      </c>
      <c r="AA27">
        <f>HYPERLINK("https://klasma.github.io/Logging_1471/klagomål/A 14296-2023 FSC-klagomål.docx", "A 14296-2023")</f>
        <v/>
      </c>
      <c r="AB27">
        <f>HYPERLINK("https://klasma.github.io/Logging_1471/klagomålsmail/A 14296-2023 FSC-klagomål mail.docx", "A 14296-2023")</f>
        <v/>
      </c>
      <c r="AC27">
        <f>HYPERLINK("https://klasma.github.io/Logging_1471/tillsyn/A 14296-2023 tillsynsbegäran.docx", "A 14296-2023")</f>
        <v/>
      </c>
      <c r="AD27">
        <f>HYPERLINK("https://klasma.github.io/Logging_1471/tillsynsmail/A 14296-2023 tillsynsbegäran mail.docx", "A 14296-2023")</f>
        <v/>
      </c>
      <c r="AE27">
        <f>HYPERLINK("https://klasma.github.io/Logging_1471/fåglar/A 14296-2023 prioriterade fågelarter.docx", "A 14296-2023")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46308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46308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46308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46308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46308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46308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46308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46308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46308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46308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46308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46308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46308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46308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46308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46308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46308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46308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46308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46308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46308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46308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46308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46308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46308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46308</v>
      </c>
      <c r="F54" t="inlineStr">
        <is>
          <t>VÄSTRA GÖTALANDS LÄN</t>
        </is>
      </c>
      <c r="G54" t="inlineStr">
        <is>
          <t>GÖTENE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46308</v>
      </c>
      <c r="F55" t="inlineStr">
        <is>
          <t>VÄSTRA GÖTALANDS LÄN</t>
        </is>
      </c>
      <c r="G55" t="inlineStr">
        <is>
          <t>GÖTENE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46308</v>
      </c>
      <c r="F56" t="inlineStr">
        <is>
          <t>VÄSTRA GÖTALANDS LÄN</t>
        </is>
      </c>
      <c r="G56" t="inlineStr">
        <is>
          <t>GÖTENE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45634</v>
      </c>
      <c r="E57" s="1" t="n">
        <v>46308</v>
      </c>
      <c r="F57" t="inlineStr">
        <is>
          <t>VÄSTRA GÖTALANDS LÄN</t>
        </is>
      </c>
      <c r="G57" t="inlineStr">
        <is>
          <t>GÖTENE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11771-2024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46308</v>
      </c>
      <c r="F58" t="inlineStr">
        <is>
          <t>VÄSTRA GÖTALANDS LÄN</t>
        </is>
      </c>
      <c r="G58" t="inlineStr">
        <is>
          <t>GÖTENE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46308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45894</v>
      </c>
      <c r="E60" s="1" t="n">
        <v>46308</v>
      </c>
      <c r="F60" t="inlineStr">
        <is>
          <t>VÄSTRA GÖTALANDS LÄN</t>
        </is>
      </c>
      <c r="G60" t="inlineStr">
        <is>
          <t>GÖTENE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44645</v>
      </c>
      <c r="E61" s="1" t="n">
        <v>46308</v>
      </c>
      <c r="F61" t="inlineStr">
        <is>
          <t>VÄSTRA GÖTALANDS LÄN</t>
        </is>
      </c>
      <c r="G61" t="inlineStr">
        <is>
          <t>GÖTENE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64712-2023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46308</v>
      </c>
      <c r="F62" t="inlineStr">
        <is>
          <t>VÄSTRA GÖTALANDS LÄN</t>
        </is>
      </c>
      <c r="G62" t="inlineStr">
        <is>
          <t>GÖTENE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46308</v>
      </c>
      <c r="F63" t="inlineStr">
        <is>
          <t>VÄSTRA GÖTALANDS LÄN</t>
        </is>
      </c>
      <c r="G63" t="inlineStr">
        <is>
          <t>GÖTENE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46308</v>
      </c>
      <c r="F64" t="inlineStr">
        <is>
          <t>VÄSTRA GÖTALANDS LÄN</t>
        </is>
      </c>
      <c r="G64" t="inlineStr">
        <is>
          <t>GÖTENE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45268</v>
      </c>
      <c r="E65" s="1" t="n">
        <v>46308</v>
      </c>
      <c r="F65" t="inlineStr">
        <is>
          <t>VÄSTRA GÖTALANDS LÄN</t>
        </is>
      </c>
      <c r="G65" t="inlineStr">
        <is>
          <t>GÖTENE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46308</v>
      </c>
      <c r="F66" t="inlineStr">
        <is>
          <t>VÄSTRA GÖTALANDS LÄN</t>
        </is>
      </c>
      <c r="G66" t="inlineStr">
        <is>
          <t>GÖTENE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44931</v>
      </c>
      <c r="E67" s="1" t="n">
        <v>46308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25777-2026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46178</v>
      </c>
      <c r="E68" s="1" t="n">
        <v>46308</v>
      </c>
      <c r="F68" t="inlineStr">
        <is>
          <t>VÄSTRA GÖTALANDS LÄN</t>
        </is>
      </c>
      <c r="G68" t="inlineStr">
        <is>
          <t>GÖTENE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46308</v>
      </c>
      <c r="F69" t="inlineStr">
        <is>
          <t>VÄSTRA GÖTALANDS LÄN</t>
        </is>
      </c>
      <c r="G69" t="inlineStr">
        <is>
          <t>GÖTENE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46308</v>
      </c>
      <c r="F70" t="inlineStr">
        <is>
          <t>VÄSTRA GÖTALANDS LÄN</t>
        </is>
      </c>
      <c r="G70" t="inlineStr">
        <is>
          <t>GÖTENE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45930</v>
      </c>
      <c r="E71" s="1" t="n">
        <v>46308</v>
      </c>
      <c r="F71" t="inlineStr">
        <is>
          <t>VÄSTRA GÖTALANDS LÄN</t>
        </is>
      </c>
      <c r="G71" t="inlineStr">
        <is>
          <t>GÖTENE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45930</v>
      </c>
      <c r="E72" s="1" t="n">
        <v>46308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46308</v>
      </c>
      <c r="F73" t="inlineStr">
        <is>
          <t>VÄSTRA GÖTALANDS LÄN</t>
        </is>
      </c>
      <c r="G73" t="inlineStr">
        <is>
          <t>GÖTENE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46308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45572</v>
      </c>
      <c r="E75" s="1" t="n">
        <v>46308</v>
      </c>
      <c r="F75" t="inlineStr">
        <is>
          <t>VÄSTRA GÖTALANDS LÄN</t>
        </is>
      </c>
      <c r="G75" t="inlineStr">
        <is>
          <t>GÖTENE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72879-2021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46308</v>
      </c>
      <c r="F76" t="inlineStr">
        <is>
          <t>VÄSTRA GÖTALANDS LÄN</t>
        </is>
      </c>
      <c r="G76" t="inlineStr">
        <is>
          <t>GÖTENE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46308</v>
      </c>
      <c r="F77" t="inlineStr">
        <is>
          <t>VÄSTRA GÖTALANDS LÄN</t>
        </is>
      </c>
      <c r="G77" t="inlineStr">
        <is>
          <t>GÖTENE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46308</v>
      </c>
      <c r="F78" t="inlineStr">
        <is>
          <t>VÄSTRA GÖTALANDS LÄN</t>
        </is>
      </c>
      <c r="G78" t="inlineStr">
        <is>
          <t>GÖTENE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45440</v>
      </c>
      <c r="E79" s="1" t="n">
        <v>46308</v>
      </c>
      <c r="F79" t="inlineStr">
        <is>
          <t>VÄSTRA GÖTALANDS LÄN</t>
        </is>
      </c>
      <c r="G79" t="inlineStr">
        <is>
          <t>GÖTENE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45152</v>
      </c>
      <c r="E80" s="1" t="n">
        <v>46308</v>
      </c>
      <c r="F80" t="inlineStr">
        <is>
          <t>VÄSTRA GÖTALANDS LÄN</t>
        </is>
      </c>
      <c r="G80" t="inlineStr">
        <is>
          <t>GÖTENE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46308</v>
      </c>
      <c r="F81" t="inlineStr">
        <is>
          <t>VÄSTRA GÖTALANDS LÄN</t>
        </is>
      </c>
      <c r="G81" t="inlineStr">
        <is>
          <t>GÖTENE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46197</v>
      </c>
      <c r="E82" s="1" t="n">
        <v>46308</v>
      </c>
      <c r="F82" t="inlineStr">
        <is>
          <t>VÄSTRA GÖTALANDS LÄN</t>
        </is>
      </c>
      <c r="G82" t="inlineStr">
        <is>
          <t>GÖTENE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46308</v>
      </c>
      <c r="F83" t="inlineStr">
        <is>
          <t>VÄSTRA GÖTALANDS LÄN</t>
        </is>
      </c>
      <c r="G83" t="inlineStr">
        <is>
          <t>GÖTENE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46308</v>
      </c>
      <c r="F84" t="inlineStr">
        <is>
          <t>VÄSTRA GÖTALANDS LÄN</t>
        </is>
      </c>
      <c r="G84" t="inlineStr">
        <is>
          <t>GÖTENE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46308</v>
      </c>
      <c r="F85" t="inlineStr">
        <is>
          <t>VÄSTRA GÖTALANDS LÄN</t>
        </is>
      </c>
      <c r="G85" t="inlineStr">
        <is>
          <t>GÖTENE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46308</v>
      </c>
      <c r="F86" t="inlineStr">
        <is>
          <t>VÄSTRA GÖTALANDS LÄN</t>
        </is>
      </c>
      <c r="G86" t="inlineStr">
        <is>
          <t>GÖTENE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46308</v>
      </c>
      <c r="F87" t="inlineStr">
        <is>
          <t>VÄSTRA GÖTALANDS LÄN</t>
        </is>
      </c>
      <c r="G87" t="inlineStr">
        <is>
          <t>GÖTENE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46308</v>
      </c>
      <c r="F88" t="inlineStr">
        <is>
          <t>VÄSTRA GÖTALANDS LÄN</t>
        </is>
      </c>
      <c r="G88" t="inlineStr">
        <is>
          <t>GÖTENE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46308</v>
      </c>
      <c r="F89" t="inlineStr">
        <is>
          <t>VÄSTRA GÖTALANDS LÄN</t>
        </is>
      </c>
      <c r="G89" t="inlineStr">
        <is>
          <t>GÖTENE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46308</v>
      </c>
      <c r="F90" t="inlineStr">
        <is>
          <t>VÄSTRA GÖTALANDS LÄN</t>
        </is>
      </c>
      <c r="G90" t="inlineStr">
        <is>
          <t>GÖTENE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45440</v>
      </c>
      <c r="E91" s="1" t="n">
        <v>46308</v>
      </c>
      <c r="F91" t="inlineStr">
        <is>
          <t>VÄSTRA GÖTALANDS LÄN</t>
        </is>
      </c>
      <c r="G91" t="inlineStr">
        <is>
          <t>GÖTENE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46308</v>
      </c>
      <c r="F92" t="inlineStr">
        <is>
          <t>VÄSTRA GÖTALANDS LÄN</t>
        </is>
      </c>
      <c r="G92" t="inlineStr">
        <is>
          <t>GÖTENE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46308</v>
      </c>
      <c r="F93" t="inlineStr">
        <is>
          <t>VÄSTRA GÖTALANDS LÄN</t>
        </is>
      </c>
      <c r="G93" t="inlineStr">
        <is>
          <t>GÖTENE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46308</v>
      </c>
      <c r="F94" t="inlineStr">
        <is>
          <t>VÄSTRA GÖTALANDS LÄN</t>
        </is>
      </c>
      <c r="G94" t="inlineStr">
        <is>
          <t>GÖTENE</t>
        </is>
      </c>
      <c r="I94" t="n">
        <v>18.8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46308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Sveaskog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16341-2025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45751</v>
      </c>
      <c r="E96" s="1" t="n">
        <v>46308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46051</v>
      </c>
      <c r="E97" s="1" t="n">
        <v>46308</v>
      </c>
      <c r="F97" t="inlineStr">
        <is>
          <t>VÄSTRA GÖTALANDS LÄN</t>
        </is>
      </c>
      <c r="G97" t="inlineStr">
        <is>
          <t>GÖTENE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46308</v>
      </c>
      <c r="F98" t="inlineStr">
        <is>
          <t>VÄSTRA GÖTALANDS LÄN</t>
        </is>
      </c>
      <c r="G98" t="inlineStr">
        <is>
          <t>GÖTENE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46308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46308</v>
      </c>
      <c r="F100" t="inlineStr">
        <is>
          <t>VÄSTRA GÖTALANDS LÄN</t>
        </is>
      </c>
      <c r="G100" t="inlineStr">
        <is>
          <t>GÖTENE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46308</v>
      </c>
      <c r="F101" t="inlineStr">
        <is>
          <t>VÄSTRA GÖTALANDS LÄN</t>
        </is>
      </c>
      <c r="G101" t="inlineStr">
        <is>
          <t>GÖTENE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46308</v>
      </c>
      <c r="F102" t="inlineStr">
        <is>
          <t>VÄSTRA GÖTALANDS LÄN</t>
        </is>
      </c>
      <c r="G102" t="inlineStr">
        <is>
          <t>GÖTENE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46308</v>
      </c>
      <c r="F103" t="inlineStr">
        <is>
          <t>VÄSTRA GÖTALANDS LÄN</t>
        </is>
      </c>
      <c r="G103" t="inlineStr">
        <is>
          <t>GÖTENE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46220</v>
      </c>
      <c r="E104" s="1" t="n">
        <v>46308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46220</v>
      </c>
      <c r="E105" s="1" t="n">
        <v>46308</v>
      </c>
      <c r="F105" t="inlineStr">
        <is>
          <t>VÄSTRA GÖTALANDS LÄN</t>
        </is>
      </c>
      <c r="G105" t="inlineStr">
        <is>
          <t>GÖTENE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46308</v>
      </c>
      <c r="F106" t="inlineStr">
        <is>
          <t>VÄSTRA GÖTALANDS LÄN</t>
        </is>
      </c>
      <c r="G106" t="inlineStr">
        <is>
          <t>GÖTENE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46266</v>
      </c>
      <c r="E107" s="1" t="n">
        <v>46308</v>
      </c>
      <c r="F107" t="inlineStr">
        <is>
          <t>VÄSTRA GÖTALANDS LÄN</t>
        </is>
      </c>
      <c r="G107" t="inlineStr">
        <is>
          <t>GÖTENE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46308</v>
      </c>
      <c r="F108" t="inlineStr">
        <is>
          <t>VÄSTRA GÖTALANDS LÄN</t>
        </is>
      </c>
      <c r="G108" t="inlineStr">
        <is>
          <t>GÖTENE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46308</v>
      </c>
      <c r="F109" t="inlineStr">
        <is>
          <t>VÄSTRA GÖTALANDS LÄN</t>
        </is>
      </c>
      <c r="G109" t="inlineStr">
        <is>
          <t>GÖTENE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46308</v>
      </c>
      <c r="F110" t="inlineStr">
        <is>
          <t>VÄSTRA GÖTALANDS LÄN</t>
        </is>
      </c>
      <c r="G110" t="inlineStr">
        <is>
          <t>GÖTENE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46308</v>
      </c>
      <c r="F111" t="inlineStr">
        <is>
          <t>VÄSTRA GÖTALANDS LÄN</t>
        </is>
      </c>
      <c r="G111" t="inlineStr">
        <is>
          <t>GÖTENE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26105-2025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46308</v>
      </c>
      <c r="F112" t="inlineStr">
        <is>
          <t>VÄSTRA GÖTALANDS LÄN</t>
        </is>
      </c>
      <c r="G112" t="inlineStr">
        <is>
          <t>GÖTENE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45722</v>
      </c>
      <c r="E113" s="1" t="n">
        <v>46308</v>
      </c>
      <c r="F113" t="inlineStr">
        <is>
          <t>VÄSTRA GÖTALANDS LÄN</t>
        </is>
      </c>
      <c r="G113" t="inlineStr">
        <is>
          <t>GÖTENE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46308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Övriga Aktiebolag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46276</v>
      </c>
      <c r="E115" s="1" t="n">
        <v>46308</v>
      </c>
      <c r="F115" t="inlineStr">
        <is>
          <t>VÄSTRA GÖTALANDS LÄN</t>
        </is>
      </c>
      <c r="G115" t="inlineStr">
        <is>
          <t>GÖTENE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32298-2026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46237</v>
      </c>
      <c r="E116" s="1" t="n">
        <v>46308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Övriga Aktiebolag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46308</v>
      </c>
      <c r="F117" t="inlineStr">
        <is>
          <t>VÄSTRA GÖTALANDS LÄN</t>
        </is>
      </c>
      <c r="G117" t="inlineStr">
        <is>
          <t>GÖTENE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46308</v>
      </c>
      <c r="F118" t="inlineStr">
        <is>
          <t>VÄSTRA GÖTALANDS LÄN</t>
        </is>
      </c>
      <c r="G118" t="inlineStr">
        <is>
          <t>GÖTENE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46238</v>
      </c>
      <c r="E119" s="1" t="n">
        <v>46308</v>
      </c>
      <c r="F119" t="inlineStr">
        <is>
          <t>VÄSTRA GÖTALANDS LÄN</t>
        </is>
      </c>
      <c r="G119" t="inlineStr">
        <is>
          <t>GÖTENE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46308</v>
      </c>
      <c r="F120" t="inlineStr">
        <is>
          <t>VÄSTRA GÖTALANDS LÄN</t>
        </is>
      </c>
      <c r="G120" t="inlineStr">
        <is>
          <t>GÖTENE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46308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Övriga Aktiebolag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46308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46049</v>
      </c>
      <c r="E123" s="1" t="n">
        <v>46308</v>
      </c>
      <c r="F123" t="inlineStr">
        <is>
          <t>VÄSTRA GÖTALANDS LÄN</t>
        </is>
      </c>
      <c r="G123" t="inlineStr">
        <is>
          <t>GÖTENE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46308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Kyrkan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46308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46308</v>
      </c>
      <c r="F126" t="inlineStr">
        <is>
          <t>VÄSTRA GÖTALANDS LÄN</t>
        </is>
      </c>
      <c r="G126" t="inlineStr">
        <is>
          <t>GÖTENE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46308</v>
      </c>
      <c r="F127" t="inlineStr">
        <is>
          <t>VÄSTRA GÖTALANDS LÄN</t>
        </is>
      </c>
      <c r="G127" t="inlineStr">
        <is>
          <t>GÖTENE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46290</v>
      </c>
      <c r="E128" s="1" t="n">
        <v>46308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46182</v>
      </c>
      <c r="E129" s="1" t="n">
        <v>46308</v>
      </c>
      <c r="F129" t="inlineStr">
        <is>
          <t>VÄSTRA GÖTALANDS LÄN</t>
        </is>
      </c>
      <c r="G129" t="inlineStr">
        <is>
          <t>GÖTENE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46308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Sveaskog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46308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46290</v>
      </c>
      <c r="E132" s="1" t="n">
        <v>46308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Sveaskog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46308</v>
      </c>
      <c r="F133" t="inlineStr">
        <is>
          <t>VÄSTRA GÖTALANDS LÄN</t>
        </is>
      </c>
      <c r="G133" t="inlineStr">
        <is>
          <t>GÖTENE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46308</v>
      </c>
      <c r="F134" t="inlineStr">
        <is>
          <t>VÄSTRA GÖTALANDS LÄN</t>
        </is>
      </c>
      <c r="G134" t="inlineStr">
        <is>
          <t>GÖTENE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46083</v>
      </c>
      <c r="E135" s="1" t="n">
        <v>46308</v>
      </c>
      <c r="F135" t="inlineStr">
        <is>
          <t>VÄSTRA GÖTALANDS LÄN</t>
        </is>
      </c>
      <c r="G135" t="inlineStr">
        <is>
          <t>GÖTENE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46266</v>
      </c>
      <c r="E136" s="1" t="n">
        <v>46308</v>
      </c>
      <c r="F136" t="inlineStr">
        <is>
          <t>VÄSTRA GÖTALANDS LÄN</t>
        </is>
      </c>
      <c r="G136" t="inlineStr">
        <is>
          <t>GÖTENE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46083</v>
      </c>
      <c r="E137" s="1" t="n">
        <v>46308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46308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Övriga Aktiebolag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44931</v>
      </c>
      <c r="E139" s="1" t="n">
        <v>46308</v>
      </c>
      <c r="F139" t="inlineStr">
        <is>
          <t>VÄSTRA GÖTALANDS LÄN</t>
        </is>
      </c>
      <c r="G139" t="inlineStr">
        <is>
          <t>GÖTENE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46308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46296</v>
      </c>
      <c r="E141" s="1" t="n">
        <v>46308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44827</v>
      </c>
      <c r="E142" s="1" t="n">
        <v>46308</v>
      </c>
      <c r="F142" t="inlineStr">
        <is>
          <t>VÄSTRA GÖTALANDS LÄN</t>
        </is>
      </c>
      <c r="G142" t="inlineStr">
        <is>
          <t>GÖTENE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44777</v>
      </c>
      <c r="E143" s="1" t="n">
        <v>46308</v>
      </c>
      <c r="F143" t="inlineStr">
        <is>
          <t>VÄSTRA GÖTALANDS LÄN</t>
        </is>
      </c>
      <c r="G143" t="inlineStr">
        <is>
          <t>GÖTENE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46308</v>
      </c>
      <c r="F144" t="inlineStr">
        <is>
          <t>VÄSTRA GÖTALANDS LÄN</t>
        </is>
      </c>
      <c r="G144" t="inlineStr">
        <is>
          <t>GÖTENE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46308</v>
      </c>
      <c r="F145" t="inlineStr">
        <is>
          <t>VÄSTRA GÖTALANDS LÄN</t>
        </is>
      </c>
      <c r="G145" t="inlineStr">
        <is>
          <t>GÖTENE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46308</v>
      </c>
      <c r="F146" t="inlineStr">
        <is>
          <t>VÄSTRA GÖTALANDS LÄN</t>
        </is>
      </c>
      <c r="G146" t="inlineStr">
        <is>
          <t>GÖTENE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46302</v>
      </c>
      <c r="E147" s="1" t="n">
        <v>46308</v>
      </c>
      <c r="F147" t="inlineStr">
        <is>
          <t>VÄSTRA GÖTALANDS LÄN</t>
        </is>
      </c>
      <c r="G147" t="inlineStr">
        <is>
          <t>GÖTENE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46308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46308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46308</v>
      </c>
      <c r="F150" t="inlineStr">
        <is>
          <t>VÄSTRA GÖTALANDS LÄN</t>
        </is>
      </c>
      <c r="G150" t="inlineStr">
        <is>
          <t>GÖTENE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44676</v>
      </c>
      <c r="E151" s="1" t="n">
        <v>46308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44757</v>
      </c>
      <c r="E152" s="1" t="n">
        <v>46308</v>
      </c>
      <c r="F152" t="inlineStr">
        <is>
          <t>VÄSTRA GÖTALANDS LÄN</t>
        </is>
      </c>
      <c r="G152" t="inlineStr">
        <is>
          <t>GÖTENE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61021-2022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44914</v>
      </c>
      <c r="E153" s="1" t="n">
        <v>46308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46308</v>
      </c>
      <c r="F154" t="inlineStr">
        <is>
          <t>VÄSTRA GÖTALANDS LÄN</t>
        </is>
      </c>
      <c r="G154" t="inlineStr">
        <is>
          <t>GÖTENE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46308</v>
      </c>
      <c r="F155" t="inlineStr">
        <is>
          <t>VÄSTRA GÖTALANDS LÄN</t>
        </is>
      </c>
      <c r="G155" t="inlineStr">
        <is>
          <t>GÖTENE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46308</v>
      </c>
      <c r="F156" t="inlineStr">
        <is>
          <t>VÄSTRA GÖTALANDS LÄN</t>
        </is>
      </c>
      <c r="G156" t="inlineStr">
        <is>
          <t>GÖTENE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25594-2025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45803</v>
      </c>
      <c r="E157" s="1" t="n">
        <v>46308</v>
      </c>
      <c r="F157" t="inlineStr">
        <is>
          <t>VÄSTRA GÖTALANDS LÄN</t>
        </is>
      </c>
      <c r="G157" t="inlineStr">
        <is>
          <t>GÖTENE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46308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46308</v>
      </c>
      <c r="F159" t="inlineStr">
        <is>
          <t>VÄSTRA GÖTALANDS LÄN</t>
        </is>
      </c>
      <c r="G159" t="inlineStr">
        <is>
          <t>GÖTENE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46308</v>
      </c>
      <c r="F160" t="inlineStr">
        <is>
          <t>VÄSTRA GÖTALANDS LÄN</t>
        </is>
      </c>
      <c r="G160" t="inlineStr">
        <is>
          <t>GÖTENE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46308</v>
      </c>
      <c r="F161" t="inlineStr">
        <is>
          <t>VÄSTRA GÖTALANDS LÄN</t>
        </is>
      </c>
      <c r="G161" t="inlineStr">
        <is>
          <t>GÖTENE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46308</v>
      </c>
      <c r="F162" t="inlineStr">
        <is>
          <t>VÄSTRA GÖTALANDS LÄN</t>
        </is>
      </c>
      <c r="G162" t="inlineStr">
        <is>
          <t>GÖTENE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46308</v>
      </c>
      <c r="F163" t="inlineStr">
        <is>
          <t>VÄSTRA GÖTALANDS LÄN</t>
        </is>
      </c>
      <c r="G163" t="inlineStr">
        <is>
          <t>GÖTENE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45667</v>
      </c>
      <c r="E164" s="1" t="n">
        <v>46308</v>
      </c>
      <c r="F164" t="inlineStr">
        <is>
          <t>VÄSTRA GÖTALANDS LÄN</t>
        </is>
      </c>
      <c r="G164" t="inlineStr">
        <is>
          <t>GÖTENE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46308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46147</v>
      </c>
      <c r="E166" s="1" t="n">
        <v>46308</v>
      </c>
      <c r="F166" t="inlineStr">
        <is>
          <t>VÄSTRA GÖTALANDS LÄN</t>
        </is>
      </c>
      <c r="G166" t="inlineStr">
        <is>
          <t>GÖTENE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46308</v>
      </c>
      <c r="F167" t="inlineStr">
        <is>
          <t>VÄSTRA GÖTALANDS LÄN</t>
        </is>
      </c>
      <c r="G167" t="inlineStr">
        <is>
          <t>GÖTENE</t>
        </is>
      </c>
      <c r="I167" t="n">
        <v>14.7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46308</v>
      </c>
      <c r="F168" t="inlineStr">
        <is>
          <t>VÄSTRA GÖTALANDS LÄN</t>
        </is>
      </c>
      <c r="G168" t="inlineStr">
        <is>
          <t>GÖTENE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44645</v>
      </c>
      <c r="E169" s="1" t="n">
        <v>46308</v>
      </c>
      <c r="F169" t="inlineStr">
        <is>
          <t>VÄSTRA GÖTALANDS LÄN</t>
        </is>
      </c>
      <c r="G169" t="inlineStr">
        <is>
          <t>GÖTENE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44645</v>
      </c>
      <c r="E170" s="1" t="n">
        <v>46308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44645</v>
      </c>
      <c r="E171" s="1" t="n">
        <v>46308</v>
      </c>
      <c r="F171" t="inlineStr">
        <is>
          <t>VÄSTRA GÖTALANDS LÄN</t>
        </is>
      </c>
      <c r="G171" t="inlineStr">
        <is>
          <t>GÖTENE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46308</v>
      </c>
      <c r="F172" t="inlineStr">
        <is>
          <t>VÄSTRA GÖTALANDS LÄN</t>
        </is>
      </c>
      <c r="G172" t="inlineStr">
        <is>
          <t>GÖTENE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46308</v>
      </c>
      <c r="F173" t="inlineStr">
        <is>
          <t>VÄSTRA GÖTALANDS LÄN</t>
        </is>
      </c>
      <c r="G173" t="inlineStr">
        <is>
          <t>GÖTENE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46160</v>
      </c>
      <c r="E174" s="1" t="n">
        <v>46308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46308</v>
      </c>
      <c r="F175" t="inlineStr">
        <is>
          <t>VÄSTRA GÖTALANDS LÄN</t>
        </is>
      </c>
      <c r="G175" t="inlineStr">
        <is>
          <t>GÖTENE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45361</v>
      </c>
      <c r="E176" s="1" t="n">
        <v>46308</v>
      </c>
      <c r="F176" t="inlineStr">
        <is>
          <t>VÄSTRA GÖTALANDS LÄN</t>
        </is>
      </c>
      <c r="G176" t="inlineStr">
        <is>
          <t>GÖTENE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46308</v>
      </c>
      <c r="F177" t="inlineStr">
        <is>
          <t>VÄSTRA GÖTALANDS LÄN</t>
        </is>
      </c>
      <c r="G177" t="inlineStr">
        <is>
          <t>GÖTENE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46308</v>
      </c>
      <c r="F178" t="inlineStr">
        <is>
          <t>VÄSTRA GÖTALANDS LÄN</t>
        </is>
      </c>
      <c r="G178" t="inlineStr">
        <is>
          <t>GÖTENE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45366</v>
      </c>
      <c r="E179" s="1" t="n">
        <v>46308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12660-2023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45000</v>
      </c>
      <c r="E180" s="1" t="n">
        <v>46308</v>
      </c>
      <c r="F180" t="inlineStr">
        <is>
          <t>VÄSTRA GÖTALANDS LÄN</t>
        </is>
      </c>
      <c r="G180" t="inlineStr">
        <is>
          <t>GÖTENE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45069</v>
      </c>
      <c r="E181" s="1" t="n">
        <v>46308</v>
      </c>
      <c r="F181" t="inlineStr">
        <is>
          <t>VÄSTRA GÖTALANDS LÄN</t>
        </is>
      </c>
      <c r="G181" t="inlineStr">
        <is>
          <t>GÖTENE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46308</v>
      </c>
      <c r="F182" t="inlineStr">
        <is>
          <t>VÄSTRA GÖTALANDS LÄN</t>
        </is>
      </c>
      <c r="G182" t="inlineStr">
        <is>
          <t>GÖTENE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46308</v>
      </c>
      <c r="F183" t="inlineStr">
        <is>
          <t>VÄSTRA GÖTALANDS LÄN</t>
        </is>
      </c>
      <c r="G183" t="inlineStr">
        <is>
          <t>GÖTENE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46308</v>
      </c>
      <c r="F184" t="inlineStr">
        <is>
          <t>VÄSTRA GÖTALANDS LÄN</t>
        </is>
      </c>
      <c r="G184" t="inlineStr">
        <is>
          <t>GÖTENE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46308</v>
      </c>
      <c r="F185" t="inlineStr">
        <is>
          <t>VÄSTRA GÖTALANDS LÄN</t>
        </is>
      </c>
      <c r="G185" t="inlineStr">
        <is>
          <t>GÖTENE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46308</v>
      </c>
      <c r="F186" t="inlineStr">
        <is>
          <t>VÄSTRA GÖTALANDS LÄN</t>
        </is>
      </c>
      <c r="G186" t="inlineStr">
        <is>
          <t>GÖTENE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46308</v>
      </c>
      <c r="F187" t="inlineStr">
        <is>
          <t>VÄSTRA GÖTALANDS LÄN</t>
        </is>
      </c>
      <c r="G187" t="inlineStr">
        <is>
          <t>GÖTENE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46308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45224</v>
      </c>
      <c r="E189" s="1" t="n">
        <v>46308</v>
      </c>
      <c r="F189" t="inlineStr">
        <is>
          <t>VÄSTRA GÖTALANDS LÄN</t>
        </is>
      </c>
      <c r="G189" t="inlineStr">
        <is>
          <t>GÖTENE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46308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46308</v>
      </c>
      <c r="F191" t="inlineStr">
        <is>
          <t>VÄSTRA GÖTALANDS LÄN</t>
        </is>
      </c>
      <c r="G191" t="inlineStr">
        <is>
          <t>GÖTENE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46308</v>
      </c>
      <c r="F192" t="inlineStr">
        <is>
          <t>VÄSTRA GÖTALANDS LÄN</t>
        </is>
      </c>
      <c r="G192" t="inlineStr">
        <is>
          <t>GÖTENE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62390-2023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46308</v>
      </c>
      <c r="F193" t="inlineStr">
        <is>
          <t>VÄSTRA GÖTALANDS LÄN</t>
        </is>
      </c>
      <c r="G193" t="inlineStr">
        <is>
          <t>GÖTENE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46308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46308</v>
      </c>
      <c r="F195" t="inlineStr">
        <is>
          <t>VÄSTRA GÖTALANDS LÄN</t>
        </is>
      </c>
      <c r="G195" t="inlineStr">
        <is>
          <t>GÖTENE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44844</v>
      </c>
      <c r="E196" s="1" t="n">
        <v>46308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46308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46308</v>
      </c>
      <c r="F198" t="inlineStr">
        <is>
          <t>VÄSTRA GÖTALANDS LÄN</t>
        </is>
      </c>
      <c r="G198" t="inlineStr">
        <is>
          <t>GÖTENE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12450-2022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46308</v>
      </c>
      <c r="F199" t="inlineStr">
        <is>
          <t>VÄSTRA GÖTALANDS LÄN</t>
        </is>
      </c>
      <c r="G199" t="inlineStr">
        <is>
          <t>GÖTENE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44706</v>
      </c>
      <c r="E200" s="1" t="n">
        <v>46308</v>
      </c>
      <c r="F200" t="inlineStr">
        <is>
          <t>VÄSTRA GÖTALANDS LÄN</t>
        </is>
      </c>
      <c r="G200" t="inlineStr">
        <is>
          <t>GÖTENE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46308</v>
      </c>
      <c r="F201" t="inlineStr">
        <is>
          <t>VÄSTRA GÖTALANDS LÄN</t>
        </is>
      </c>
      <c r="G201" t="inlineStr">
        <is>
          <t>GÖTENE</t>
        </is>
      </c>
      <c r="I201" t="n">
        <v>19.7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46308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45210</v>
      </c>
      <c r="E203" s="1" t="n">
        <v>46308</v>
      </c>
      <c r="F203" t="inlineStr">
        <is>
          <t>VÄSTRA GÖTALANDS LÄN</t>
        </is>
      </c>
      <c r="G203" t="inlineStr">
        <is>
          <t>GÖTENE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46308</v>
      </c>
      <c r="F204" t="inlineStr">
        <is>
          <t>VÄSTRA GÖTALANDS LÄN</t>
        </is>
      </c>
      <c r="G204" t="inlineStr">
        <is>
          <t>GÖTENE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46308</v>
      </c>
      <c r="F205" t="inlineStr">
        <is>
          <t>VÄSTRA GÖTALANDS LÄN</t>
        </is>
      </c>
      <c r="G205" t="inlineStr">
        <is>
          <t>GÖTENE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46308</v>
      </c>
      <c r="F206" t="inlineStr">
        <is>
          <t>VÄSTRA GÖTALANDS LÄN</t>
        </is>
      </c>
      <c r="G206" t="inlineStr">
        <is>
          <t>GÖTENE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46308</v>
      </c>
      <c r="F207" t="inlineStr">
        <is>
          <t>VÄSTRA GÖTALANDS LÄN</t>
        </is>
      </c>
      <c r="G207" t="inlineStr">
        <is>
          <t>GÖTENE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46308</v>
      </c>
      <c r="F208" t="inlineStr">
        <is>
          <t>VÄSTRA GÖTALANDS LÄN</t>
        </is>
      </c>
      <c r="G208" t="inlineStr">
        <is>
          <t>GÖTENE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44970</v>
      </c>
      <c r="E209" s="1" t="n">
        <v>46308</v>
      </c>
      <c r="F209" t="inlineStr">
        <is>
          <t>VÄSTRA GÖTALANDS LÄN</t>
        </is>
      </c>
      <c r="G209" t="inlineStr">
        <is>
          <t>GÖTENE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46308</v>
      </c>
      <c r="F210" t="inlineStr">
        <is>
          <t>VÄSTRA GÖTALANDS LÄN</t>
        </is>
      </c>
      <c r="G210" t="inlineStr">
        <is>
          <t>GÖTENE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46308</v>
      </c>
      <c r="F211" t="inlineStr">
        <is>
          <t>VÄSTRA GÖTALANDS LÄN</t>
        </is>
      </c>
      <c r="G211" t="inlineStr">
        <is>
          <t>GÖTENE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46308</v>
      </c>
      <c r="F212" t="inlineStr">
        <is>
          <t>VÄSTRA GÖTALANDS LÄN</t>
        </is>
      </c>
      <c r="G212" t="inlineStr">
        <is>
          <t>GÖTENE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46308</v>
      </c>
      <c r="F213" t="inlineStr">
        <is>
          <t>VÄSTRA GÖTALANDS LÄN</t>
        </is>
      </c>
      <c r="G213" t="inlineStr">
        <is>
          <t>GÖTENE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46308</v>
      </c>
      <c r="F214" t="inlineStr">
        <is>
          <t>VÄSTRA GÖTALANDS LÄN</t>
        </is>
      </c>
      <c r="G214" t="inlineStr">
        <is>
          <t>GÖTENE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46308</v>
      </c>
      <c r="F215" t="inlineStr">
        <is>
          <t>VÄSTRA GÖTALANDS LÄN</t>
        </is>
      </c>
      <c r="G215" t="inlineStr">
        <is>
          <t>GÖTENE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46308</v>
      </c>
      <c r="F216" t="inlineStr">
        <is>
          <t>VÄSTRA GÖTALANDS LÄN</t>
        </is>
      </c>
      <c r="G216" t="inlineStr">
        <is>
          <t>GÖTENE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46308</v>
      </c>
      <c r="F217" t="inlineStr">
        <is>
          <t>VÄSTRA GÖTALANDS LÄN</t>
        </is>
      </c>
      <c r="G217" t="inlineStr">
        <is>
          <t>GÖTENE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46308</v>
      </c>
      <c r="F218" t="inlineStr">
        <is>
          <t>VÄSTRA GÖTALANDS LÄN</t>
        </is>
      </c>
      <c r="G218" t="inlineStr">
        <is>
          <t>GÖTENE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46308</v>
      </c>
      <c r="F219" t="inlineStr">
        <is>
          <t>VÄSTRA GÖTALANDS LÄN</t>
        </is>
      </c>
      <c r="G219" t="inlineStr">
        <is>
          <t>GÖTENE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46308</v>
      </c>
      <c r="F220" t="inlineStr">
        <is>
          <t>VÄSTRA GÖTALANDS LÄN</t>
        </is>
      </c>
      <c r="G220" t="inlineStr">
        <is>
          <t>GÖTENE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46308</v>
      </c>
      <c r="F221" t="inlineStr">
        <is>
          <t>VÄSTRA GÖTALANDS LÄN</t>
        </is>
      </c>
      <c r="G221" t="inlineStr">
        <is>
          <t>GÖTENE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46308</v>
      </c>
      <c r="F222" t="inlineStr">
        <is>
          <t>VÄSTRA GÖTALANDS LÄN</t>
        </is>
      </c>
      <c r="G222" t="inlineStr">
        <is>
          <t>GÖTENE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45747</v>
      </c>
      <c r="E223" s="1" t="n">
        <v>46308</v>
      </c>
      <c r="F223" t="inlineStr">
        <is>
          <t>VÄSTRA GÖTALANDS LÄN</t>
        </is>
      </c>
      <c r="G223" t="inlineStr">
        <is>
          <t>GÖTENE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46308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46308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46308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2026-10-13T02:03:34Z</dcterms:created>
  <dcterms:modified xmlns:dcterms="http://purl.org/dc/terms/" xmlns:xsi="http://www.w3.org/2001/XMLSchema-instance" xsi:type="dcterms:W3CDTF">2026-10-13T02:03:34Z</dcterms:modified>
</cp:coreProperties>
</file>