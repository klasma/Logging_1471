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46306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46306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46306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46306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46306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46306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46306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14296-2023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45011</v>
      </c>
      <c r="E17" s="1" t="n">
        <v>46306</v>
      </c>
      <c r="F17" t="inlineStr">
        <is>
          <t>VÄSTRA GÖTALANDS LÄN</t>
        </is>
      </c>
      <c r="G17" t="inlineStr">
        <is>
          <t>GÖTENE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Pilgrimsfalk</t>
        </is>
      </c>
      <c r="W17">
        <f>HYPERLINK("https://klasma.github.io/Logging_1471/artfynd/A 14296-2023 artfynd.xlsx", "A 14296-2023")</f>
        <v/>
      </c>
      <c r="X17">
        <f>HYPERLINK("https://klasma.github.io/Logging_1471/kartor/A 14296-2023 karta.png", "A 14296-2023")</f>
        <v/>
      </c>
      <c r="Y17">
        <f>HYPERLINK("https://klasma.github.io/Logging_1471/kartor_geotiff/A 14296-2023 georefererad karta.tif", "A 14296-2023")</f>
        <v/>
      </c>
      <c r="AA17">
        <f>HYPERLINK("https://klasma.github.io/Logging_1471/klagomål/A 14296-2023 FSC-klagomål.docx", "A 14296-2023")</f>
        <v/>
      </c>
      <c r="AB17">
        <f>HYPERLINK("https://klasma.github.io/Logging_1471/klagomålsmail/A 14296-2023 FSC-klagomål mail.docx", "A 14296-2023")</f>
        <v/>
      </c>
      <c r="AC17">
        <f>HYPERLINK("https://klasma.github.io/Logging_1471/tillsyn/A 14296-2023 tillsynsbegäran.docx", "A 14296-2023")</f>
        <v/>
      </c>
      <c r="AD17">
        <f>HYPERLINK("https://klasma.github.io/Logging_1471/tillsynsmail/A 14296-2023 tillsynsbegäran mail.docx", "A 14296-2023")</f>
        <v/>
      </c>
      <c r="AE17">
        <f>HYPERLINK("https://klasma.github.io/Logging_1471/fåglar/A 14296-2023 prioriterade fågelarter.docx", "A 14296-2023")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46306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46306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46306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41724-2022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44827</v>
      </c>
      <c r="E21" s="1" t="n">
        <v>46306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HYPERLINK("https://klasma.github.io/Logging_1471/artfynd/A 41724-2022 artfynd.xlsx", "A 41724-2022")</f>
        <v/>
      </c>
      <c r="X21">
        <f>HYPERLINK("https://klasma.github.io/Logging_1471/kartor/A 41724-2022 karta.png", "A 41724-2022")</f>
        <v/>
      </c>
      <c r="Y21">
        <f>HYPERLINK("https://klasma.github.io/Logging_1471/kartor_geotiff/A 41724-2022 georefererad karta.tif", "A 41724-2022")</f>
        <v/>
      </c>
      <c r="AA21">
        <f>HYPERLINK("https://klasma.github.io/Logging_1471/klagomål/A 41724-2022 FSC-klagomål.docx", "A 41724-2022")</f>
        <v/>
      </c>
      <c r="AB21">
        <f>HYPERLINK("https://klasma.github.io/Logging_1471/klagomålsmail/A 41724-2022 FSC-klagomål mail.docx", "A 41724-2022")</f>
        <v/>
      </c>
      <c r="AC21">
        <f>HYPERLINK("https://klasma.github.io/Logging_1471/tillsyn/A 41724-2022 tillsynsbegäran.docx", "A 41724-2022")</f>
        <v/>
      </c>
      <c r="AD21">
        <f>HYPERLINK("https://klasma.github.io/Logging_1471/tillsynsmail/A 41724-2022 tillsynsbegäran mail.docx", "A 41724-2022")</f>
        <v/>
      </c>
    </row>
    <row r="22" ht="15" customHeight="1">
      <c r="A22" t="inlineStr">
        <is>
          <t>A 32909-2025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46306</v>
      </c>
      <c r="F22" t="inlineStr">
        <is>
          <t>VÄSTRA GÖTALANDS LÄN</t>
        </is>
      </c>
      <c r="G22" t="inlineStr">
        <is>
          <t>GÖTENE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Jungfrulin</t>
        </is>
      </c>
      <c r="W22">
        <f>HYPERLINK("https://klasma.github.io/Logging_1471/artfynd/A 32909-2025 artfynd.xlsx", "A 32909-2025")</f>
        <v/>
      </c>
      <c r="X22">
        <f>HYPERLINK("https://klasma.github.io/Logging_1471/kartor/A 32909-2025 karta.png", "A 32909-2025")</f>
        <v/>
      </c>
      <c r="Y22">
        <f>HYPERLINK("https://klasma.github.io/Logging_1471/kartor_geotiff/A 32909-2025 georefererad karta.tif", "A 32909-2025")</f>
        <v/>
      </c>
      <c r="AA22">
        <f>HYPERLINK("https://klasma.github.io/Logging_1471/klagomål/A 32909-2025 FSC-klagomål.docx", "A 32909-2025")</f>
        <v/>
      </c>
      <c r="AB22">
        <f>HYPERLINK("https://klasma.github.io/Logging_1471/klagomålsmail/A 32909-2025 FSC-klagomål mail.docx", "A 32909-2025")</f>
        <v/>
      </c>
      <c r="AC22">
        <f>HYPERLINK("https://klasma.github.io/Logging_1471/tillsyn/A 32909-2025 tillsynsbegäran.docx", "A 32909-2025")</f>
        <v/>
      </c>
      <c r="AD22">
        <f>HYPERLINK("https://klasma.github.io/Logging_1471/tillsynsmail/A 32909-2025 tillsynsbegäran mail.docx", "A 32909-2025")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46306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46306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46306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46306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46306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46306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46306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46306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46306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46306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46306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46306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46306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46306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46306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46306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46306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46306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46306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46306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46306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46306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46306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46306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46306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46306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44581</v>
      </c>
      <c r="E51" s="1" t="n">
        <v>46306</v>
      </c>
      <c r="F51" t="inlineStr">
        <is>
          <t>VÄSTRA GÖTALANDS LÄN</t>
        </is>
      </c>
      <c r="G51" t="inlineStr">
        <is>
          <t>GÖTENE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46306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46306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46306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46306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46306</v>
      </c>
      <c r="F56" t="inlineStr">
        <is>
          <t>VÄSTRA GÖTALANDS LÄN</t>
        </is>
      </c>
      <c r="G56" t="inlineStr">
        <is>
          <t>GÖTENE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44844</v>
      </c>
      <c r="E57" s="1" t="n">
        <v>46306</v>
      </c>
      <c r="F57" t="inlineStr">
        <is>
          <t>VÄSTRA GÖTALANDS LÄN</t>
        </is>
      </c>
      <c r="G57" t="inlineStr">
        <is>
          <t>GÖTENE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45119</v>
      </c>
      <c r="E58" s="1" t="n">
        <v>46306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45119</v>
      </c>
      <c r="E59" s="1" t="n">
        <v>46306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46306</v>
      </c>
      <c r="F60" t="inlineStr">
        <is>
          <t>VÄSTRA GÖTALANDS LÄN</t>
        </is>
      </c>
      <c r="G60" t="inlineStr">
        <is>
          <t>GÖTENE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46306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45361</v>
      </c>
      <c r="E62" s="1" t="n">
        <v>46306</v>
      </c>
      <c r="F62" t="inlineStr">
        <is>
          <t>VÄSTRA GÖTALANDS LÄN</t>
        </is>
      </c>
      <c r="G62" t="inlineStr">
        <is>
          <t>GÖTENE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46306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22278-2024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46306</v>
      </c>
      <c r="F64" t="inlineStr">
        <is>
          <t>VÄSTRA GÖTALANDS LÄN</t>
        </is>
      </c>
      <c r="G64" t="inlineStr">
        <is>
          <t>GÖTENE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45034</v>
      </c>
      <c r="E65" s="1" t="n">
        <v>46306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46306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46306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45224</v>
      </c>
      <c r="E68" s="1" t="n">
        <v>46306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46306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59074-2023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46306</v>
      </c>
      <c r="F70" t="inlineStr">
        <is>
          <t>VÄSTRA GÖTALANDS LÄN</t>
        </is>
      </c>
      <c r="G70" t="inlineStr">
        <is>
          <t>GÖTENE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46306</v>
      </c>
      <c r="F71" t="inlineStr">
        <is>
          <t>VÄSTRA GÖTALANDS LÄN</t>
        </is>
      </c>
      <c r="G71" t="inlineStr">
        <is>
          <t>GÖTENE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46306</v>
      </c>
      <c r="F72" t="inlineStr">
        <is>
          <t>VÄSTRA GÖTALANDS LÄN</t>
        </is>
      </c>
      <c r="G72" t="inlineStr">
        <is>
          <t>GÖTENE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46306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46306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46306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45376</v>
      </c>
      <c r="E76" s="1" t="n">
        <v>46306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46306</v>
      </c>
      <c r="F77" t="inlineStr">
        <is>
          <t>VÄSTRA GÖTALANDS LÄN</t>
        </is>
      </c>
      <c r="G77" t="inlineStr">
        <is>
          <t>GÖTENE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46306</v>
      </c>
      <c r="F78" t="inlineStr">
        <is>
          <t>VÄSTRA GÖTALANDS LÄN</t>
        </is>
      </c>
      <c r="G78" t="inlineStr">
        <is>
          <t>GÖTENE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46306</v>
      </c>
      <c r="F79" t="inlineStr">
        <is>
          <t>VÄSTRA GÖTALANDS LÄN</t>
        </is>
      </c>
      <c r="G79" t="inlineStr">
        <is>
          <t>GÖTENE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46306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46306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46306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46306</v>
      </c>
      <c r="F83" t="inlineStr">
        <is>
          <t>VÄSTRA GÖTALANDS LÄN</t>
        </is>
      </c>
      <c r="G83" t="inlineStr">
        <is>
          <t>GÖTENE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46306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46306</v>
      </c>
      <c r="F85" t="inlineStr">
        <is>
          <t>VÄSTRA GÖTALANDS LÄN</t>
        </is>
      </c>
      <c r="G85" t="inlineStr">
        <is>
          <t>GÖTENE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44931</v>
      </c>
      <c r="E86" s="1" t="n">
        <v>46306</v>
      </c>
      <c r="F86" t="inlineStr">
        <is>
          <t>VÄSTRA GÖTALANDS LÄN</t>
        </is>
      </c>
      <c r="G86" t="inlineStr">
        <is>
          <t>GÖTENE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46306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45099</v>
      </c>
      <c r="E88" s="1" t="n">
        <v>46306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46306</v>
      </c>
      <c r="F89" t="inlineStr">
        <is>
          <t>VÄSTRA GÖTALANDS LÄN</t>
        </is>
      </c>
      <c r="G89" t="inlineStr">
        <is>
          <t>GÖTENE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46306</v>
      </c>
      <c r="F90" t="inlineStr">
        <is>
          <t>VÄSTRA GÖTALANDS LÄN</t>
        </is>
      </c>
      <c r="G90" t="inlineStr">
        <is>
          <t>GÖTENE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46306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46306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46306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46306</v>
      </c>
      <c r="F94" t="inlineStr">
        <is>
          <t>VÄSTRA GÖTALANDS LÄN</t>
        </is>
      </c>
      <c r="G94" t="inlineStr">
        <is>
          <t>GÖTENE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46306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46306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46306</v>
      </c>
      <c r="F97" t="inlineStr">
        <is>
          <t>VÄSTRA GÖTALANDS LÄN</t>
        </is>
      </c>
      <c r="G97" t="inlineStr">
        <is>
          <t>GÖTENE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45751</v>
      </c>
      <c r="E98" s="1" t="n">
        <v>46306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46306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46306</v>
      </c>
      <c r="F100" t="inlineStr">
        <is>
          <t>VÄSTRA GÖTALANDS LÄN</t>
        </is>
      </c>
      <c r="G100" t="inlineStr">
        <is>
          <t>GÖTENE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46306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46306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46306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46306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45634</v>
      </c>
      <c r="E105" s="1" t="n">
        <v>46306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46306</v>
      </c>
      <c r="F106" t="inlineStr">
        <is>
          <t>VÄSTRA GÖTALANDS LÄN</t>
        </is>
      </c>
      <c r="G106" t="inlineStr">
        <is>
          <t>GÖTENE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46306</v>
      </c>
      <c r="F107" t="inlineStr">
        <is>
          <t>VÄSTRA GÖTALANDS LÄN</t>
        </is>
      </c>
      <c r="G107" t="inlineStr">
        <is>
          <t>GÖTENE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46306</v>
      </c>
      <c r="F108" t="inlineStr">
        <is>
          <t>VÄSTRA GÖTALANDS LÄN</t>
        </is>
      </c>
      <c r="G108" t="inlineStr">
        <is>
          <t>GÖTENE</t>
        </is>
      </c>
      <c r="I108" t="n">
        <v>14.7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46306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46306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46306</v>
      </c>
      <c r="F111" t="inlineStr">
        <is>
          <t>VÄSTRA GÖTALANDS LÄN</t>
        </is>
      </c>
      <c r="G111" t="inlineStr">
        <is>
          <t>GÖTENE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46306</v>
      </c>
      <c r="F112" t="inlineStr">
        <is>
          <t>VÄSTRA GÖTALANDS LÄN</t>
        </is>
      </c>
      <c r="G112" t="inlineStr">
        <is>
          <t>GÖTENE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46306</v>
      </c>
      <c r="F113" t="inlineStr">
        <is>
          <t>VÄSTRA GÖTALANDS LÄN</t>
        </is>
      </c>
      <c r="G113" t="inlineStr">
        <is>
          <t>GÖTENE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46306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46306</v>
      </c>
      <c r="F115" t="inlineStr">
        <is>
          <t>VÄSTRA GÖTALANDS LÄN</t>
        </is>
      </c>
      <c r="G115" t="inlineStr">
        <is>
          <t>GÖTENE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44676</v>
      </c>
      <c r="E116" s="1" t="n">
        <v>46306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46306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46306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26105-2025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45805</v>
      </c>
      <c r="E119" s="1" t="n">
        <v>46306</v>
      </c>
      <c r="F119" t="inlineStr">
        <is>
          <t>VÄSTRA GÖTALANDS LÄN</t>
        </is>
      </c>
      <c r="G119" t="inlineStr">
        <is>
          <t>GÖTENE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45722</v>
      </c>
      <c r="E120" s="1" t="n">
        <v>46306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46306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46306</v>
      </c>
      <c r="F122" t="inlineStr">
        <is>
          <t>VÄSTRA GÖTALANDS LÄN</t>
        </is>
      </c>
      <c r="G122" t="inlineStr">
        <is>
          <t>GÖTENE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44645</v>
      </c>
      <c r="E123" s="1" t="n">
        <v>46306</v>
      </c>
      <c r="F123" t="inlineStr">
        <is>
          <t>VÄSTRA GÖTALANDS LÄN</t>
        </is>
      </c>
      <c r="G123" t="inlineStr">
        <is>
          <t>GÖTENE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46306</v>
      </c>
      <c r="F124" t="inlineStr">
        <is>
          <t>VÄSTRA GÖTALANDS LÄN</t>
        </is>
      </c>
      <c r="G124" t="inlineStr">
        <is>
          <t>GÖTENE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46306</v>
      </c>
      <c r="F125" t="inlineStr">
        <is>
          <t>VÄSTRA GÖTALANDS LÄN</t>
        </is>
      </c>
      <c r="G125" t="inlineStr">
        <is>
          <t>GÖTENE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46306</v>
      </c>
      <c r="F126" t="inlineStr">
        <is>
          <t>VÄSTRA GÖTALANDS LÄN</t>
        </is>
      </c>
      <c r="G126" t="inlineStr">
        <is>
          <t>GÖTENE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46306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46306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46306</v>
      </c>
      <c r="F129" t="inlineStr">
        <is>
          <t>VÄSTRA GÖTALANDS LÄN</t>
        </is>
      </c>
      <c r="G129" t="inlineStr">
        <is>
          <t>GÖTENE</t>
        </is>
      </c>
      <c r="I129" t="n">
        <v>19.7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44931</v>
      </c>
      <c r="E130" s="1" t="n">
        <v>46306</v>
      </c>
      <c r="F130" t="inlineStr">
        <is>
          <t>VÄSTRA GÖTALANDS LÄN</t>
        </is>
      </c>
      <c r="G130" t="inlineStr">
        <is>
          <t>GÖTENE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46306</v>
      </c>
      <c r="F131" t="inlineStr">
        <is>
          <t>VÄSTRA GÖTALANDS LÄN</t>
        </is>
      </c>
      <c r="G131" t="inlineStr">
        <is>
          <t>GÖTENE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46306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46306</v>
      </c>
      <c r="F133" t="inlineStr">
        <is>
          <t>VÄSTRA GÖTALANDS LÄN</t>
        </is>
      </c>
      <c r="G133" t="inlineStr">
        <is>
          <t>GÖTENE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46306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12660-2023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45000</v>
      </c>
      <c r="E135" s="1" t="n">
        <v>46306</v>
      </c>
      <c r="F135" t="inlineStr">
        <is>
          <t>VÄSTRA GÖTALANDS LÄN</t>
        </is>
      </c>
      <c r="G135" t="inlineStr">
        <is>
          <t>GÖTENE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46306</v>
      </c>
      <c r="F136" t="inlineStr">
        <is>
          <t>VÄSTRA GÖTALANDS LÄN</t>
        </is>
      </c>
      <c r="G136" t="inlineStr">
        <is>
          <t>GÖTENE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46306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46306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46306</v>
      </c>
      <c r="F139" t="inlineStr">
        <is>
          <t>VÄSTRA GÖTALANDS LÄN</t>
        </is>
      </c>
      <c r="G139" t="inlineStr">
        <is>
          <t>GÖTENE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46306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46306</v>
      </c>
      <c r="F141" t="inlineStr">
        <is>
          <t>VÄSTRA GÖTALANDS LÄN</t>
        </is>
      </c>
      <c r="G141" t="inlineStr">
        <is>
          <t>GÖTENE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46306</v>
      </c>
      <c r="F142" t="inlineStr">
        <is>
          <t>VÄSTRA GÖTALANDS LÄN</t>
        </is>
      </c>
      <c r="G142" t="inlineStr">
        <is>
          <t>GÖTENE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46306</v>
      </c>
      <c r="F143" t="inlineStr">
        <is>
          <t>VÄSTRA GÖTALANDS LÄN</t>
        </is>
      </c>
      <c r="G143" t="inlineStr">
        <is>
          <t>GÖTENE</t>
        </is>
      </c>
      <c r="I143" t="n">
        <v>18.8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46306</v>
      </c>
      <c r="F144" t="inlineStr">
        <is>
          <t>VÄSTRA GÖTALANDS LÄN</t>
        </is>
      </c>
      <c r="G144" t="inlineStr">
        <is>
          <t>GÖTENE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46306</v>
      </c>
      <c r="F145" t="inlineStr">
        <is>
          <t>VÄSTRA GÖTALANDS LÄN</t>
        </is>
      </c>
      <c r="G145" t="inlineStr">
        <is>
          <t>GÖTENE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46306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Kyrkan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46306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46306</v>
      </c>
      <c r="F148" t="inlineStr">
        <is>
          <t>VÄSTRA GÖTALANDS LÄN</t>
        </is>
      </c>
      <c r="G148" t="inlineStr">
        <is>
          <t>GÖTENE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46306</v>
      </c>
      <c r="F149" t="inlineStr">
        <is>
          <t>VÄSTRA GÖTALANDS LÄN</t>
        </is>
      </c>
      <c r="G149" t="inlineStr">
        <is>
          <t>GÖTENE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44777</v>
      </c>
      <c r="E150" s="1" t="n">
        <v>46306</v>
      </c>
      <c r="F150" t="inlineStr">
        <is>
          <t>VÄSTRA GÖTALANDS LÄN</t>
        </is>
      </c>
      <c r="G150" t="inlineStr">
        <is>
          <t>GÖTENE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45635</v>
      </c>
      <c r="E151" s="1" t="n">
        <v>46306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46306</v>
      </c>
      <c r="F152" t="inlineStr">
        <is>
          <t>VÄSTRA GÖTALANDS LÄN</t>
        </is>
      </c>
      <c r="G152" t="inlineStr">
        <is>
          <t>GÖTENE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44638</v>
      </c>
      <c r="E153" s="1" t="n">
        <v>46306</v>
      </c>
      <c r="F153" t="inlineStr">
        <is>
          <t>VÄSTRA GÖTALANDS LÄN</t>
        </is>
      </c>
      <c r="G153" t="inlineStr">
        <is>
          <t>GÖTENE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46306</v>
      </c>
      <c r="F154" t="inlineStr">
        <is>
          <t>VÄSTRA GÖTALANDS LÄN</t>
        </is>
      </c>
      <c r="G154" t="inlineStr">
        <is>
          <t>GÖTENE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46306</v>
      </c>
      <c r="F155" t="inlineStr">
        <is>
          <t>VÄSTRA GÖTALANDS LÄN</t>
        </is>
      </c>
      <c r="G155" t="inlineStr">
        <is>
          <t>GÖTENE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46306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64712-2023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46306</v>
      </c>
      <c r="F157" t="inlineStr">
        <is>
          <t>VÄSTRA GÖTALANDS LÄN</t>
        </is>
      </c>
      <c r="G157" t="inlineStr">
        <is>
          <t>GÖTENE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46306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46306</v>
      </c>
      <c r="F159" t="inlineStr">
        <is>
          <t>VÄSTRA GÖTALANDS LÄN</t>
        </is>
      </c>
      <c r="G159" t="inlineStr">
        <is>
          <t>GÖTENE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46306</v>
      </c>
      <c r="F160" t="inlineStr">
        <is>
          <t>VÄSTRA GÖTALANDS LÄN</t>
        </is>
      </c>
      <c r="G160" t="inlineStr">
        <is>
          <t>GÖTENE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46306</v>
      </c>
      <c r="F161" t="inlineStr">
        <is>
          <t>VÄSTRA GÖTALANDS LÄN</t>
        </is>
      </c>
      <c r="G161" t="inlineStr">
        <is>
          <t>GÖTENE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46306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46306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46306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44914</v>
      </c>
      <c r="E165" s="1" t="n">
        <v>46306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44931</v>
      </c>
      <c r="E166" s="1" t="n">
        <v>46306</v>
      </c>
      <c r="F166" t="inlineStr">
        <is>
          <t>VÄSTRA GÖTALANDS LÄN</t>
        </is>
      </c>
      <c r="G166" t="inlineStr">
        <is>
          <t>GÖTENE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45386</v>
      </c>
      <c r="E167" s="1" t="n">
        <v>46306</v>
      </c>
      <c r="F167" t="inlineStr">
        <is>
          <t>VÄSTRA GÖTALANDS LÄN</t>
        </is>
      </c>
      <c r="G167" t="inlineStr">
        <is>
          <t>GÖTENE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46306</v>
      </c>
      <c r="F168" t="inlineStr">
        <is>
          <t>VÄSTRA GÖTALANDS LÄN</t>
        </is>
      </c>
      <c r="G168" t="inlineStr">
        <is>
          <t>GÖTENE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46306</v>
      </c>
      <c r="F169" t="inlineStr">
        <is>
          <t>VÄSTRA GÖTALANDS LÄN</t>
        </is>
      </c>
      <c r="G169" t="inlineStr">
        <is>
          <t>GÖTENE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45634</v>
      </c>
      <c r="E170" s="1" t="n">
        <v>46306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Kommuner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46306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46306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46306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46306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44757</v>
      </c>
      <c r="E175" s="1" t="n">
        <v>46306</v>
      </c>
      <c r="F175" t="inlineStr">
        <is>
          <t>VÄSTRA GÖTALANDS LÄN</t>
        </is>
      </c>
      <c r="G175" t="inlineStr">
        <is>
          <t>GÖTENE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44628</v>
      </c>
      <c r="E176" s="1" t="n">
        <v>46306</v>
      </c>
      <c r="F176" t="inlineStr">
        <is>
          <t>VÄSTRA GÖTALANDS LÄN</t>
        </is>
      </c>
      <c r="G176" t="inlineStr">
        <is>
          <t>GÖTENE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46306</v>
      </c>
      <c r="F177" t="inlineStr">
        <is>
          <t>VÄSTRA GÖTALANDS LÄN</t>
        </is>
      </c>
      <c r="G177" t="inlineStr">
        <is>
          <t>GÖTENE</t>
        </is>
      </c>
      <c r="H177" t="inlineStr">
        <is>
          <t>Övriga Aktiebolag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46306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46306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46306</v>
      </c>
      <c r="F180" t="inlineStr">
        <is>
          <t>VÄSTRA GÖTALANDS LÄN</t>
        </is>
      </c>
      <c r="G180" t="inlineStr">
        <is>
          <t>GÖTENE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46306</v>
      </c>
      <c r="F181" t="inlineStr">
        <is>
          <t>VÄSTRA GÖTALANDS LÄN</t>
        </is>
      </c>
      <c r="G181" t="inlineStr">
        <is>
          <t>GÖTENE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46306</v>
      </c>
      <c r="F182" t="inlineStr">
        <is>
          <t>VÄSTRA GÖTALANDS LÄN</t>
        </is>
      </c>
      <c r="G182" t="inlineStr">
        <is>
          <t>GÖTENE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46306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46306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46306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46306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25594-2025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45803</v>
      </c>
      <c r="E187" s="1" t="n">
        <v>46306</v>
      </c>
      <c r="F187" t="inlineStr">
        <is>
          <t>VÄSTRA GÖTALANDS LÄN</t>
        </is>
      </c>
      <c r="G187" t="inlineStr">
        <is>
          <t>GÖTENE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46306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46306</v>
      </c>
      <c r="F189" t="inlineStr">
        <is>
          <t>VÄSTRA GÖTALANDS LÄN</t>
        </is>
      </c>
      <c r="G189" t="inlineStr">
        <is>
          <t>GÖTENE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46306</v>
      </c>
      <c r="F190" t="inlineStr">
        <is>
          <t>VÄSTRA GÖTALANDS LÄN</t>
        </is>
      </c>
      <c r="G190" t="inlineStr">
        <is>
          <t>GÖTENE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46306</v>
      </c>
      <c r="F191" t="inlineStr">
        <is>
          <t>VÄSTRA GÖTALANDS LÄN</t>
        </is>
      </c>
      <c r="G191" t="inlineStr">
        <is>
          <t>GÖTENE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46306</v>
      </c>
      <c r="F192" t="inlineStr">
        <is>
          <t>VÄSTRA GÖTALANDS LÄN</t>
        </is>
      </c>
      <c r="G192" t="inlineStr">
        <is>
          <t>GÖTENE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46306</v>
      </c>
      <c r="F193" t="inlineStr">
        <is>
          <t>VÄSTRA GÖTALANDS LÄN</t>
        </is>
      </c>
      <c r="G193" t="inlineStr">
        <is>
          <t>GÖTENE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46306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46160</v>
      </c>
      <c r="E195" s="1" t="n">
        <v>46306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46306</v>
      </c>
      <c r="F196" t="inlineStr">
        <is>
          <t>VÄSTRA GÖTALANDS LÄN</t>
        </is>
      </c>
      <c r="G196" t="inlineStr">
        <is>
          <t>GÖTENE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46306</v>
      </c>
      <c r="F197" t="inlineStr">
        <is>
          <t>VÄSTRA GÖTALANDS LÄN</t>
        </is>
      </c>
      <c r="G197" t="inlineStr">
        <is>
          <t>GÖTENE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46306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46306</v>
      </c>
      <c r="F199" t="inlineStr">
        <is>
          <t>VÄSTRA GÖTALANDS LÄN</t>
        </is>
      </c>
      <c r="G199" t="inlineStr">
        <is>
          <t>GÖTENE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46306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46306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46306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46306</v>
      </c>
      <c r="F203" t="inlineStr">
        <is>
          <t>VÄSTRA GÖTALANDS LÄN</t>
        </is>
      </c>
      <c r="G203" t="inlineStr">
        <is>
          <t>GÖTENE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46306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46306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46306</v>
      </c>
      <c r="F206" t="inlineStr">
        <is>
          <t>VÄSTRA GÖTALANDS LÄN</t>
        </is>
      </c>
      <c r="G206" t="inlineStr">
        <is>
          <t>GÖTENE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46219</v>
      </c>
      <c r="E207" s="1" t="n">
        <v>46306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46266</v>
      </c>
      <c r="E208" s="1" t="n">
        <v>46306</v>
      </c>
      <c r="F208" t="inlineStr">
        <is>
          <t>VÄSTRA GÖTALANDS LÄN</t>
        </is>
      </c>
      <c r="G208" t="inlineStr">
        <is>
          <t>GÖTENE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46306</v>
      </c>
      <c r="F209" t="inlineStr">
        <is>
          <t>VÄSTRA GÖTALANDS LÄN</t>
        </is>
      </c>
      <c r="G209" t="inlineStr">
        <is>
          <t>GÖTENE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46306</v>
      </c>
      <c r="F210" t="inlineStr">
        <is>
          <t>VÄSTRA GÖTALANDS LÄN</t>
        </is>
      </c>
      <c r="G210" t="inlineStr">
        <is>
          <t>GÖTENE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46276</v>
      </c>
      <c r="E211" s="1" t="n">
        <v>46306</v>
      </c>
      <c r="F211" t="inlineStr">
        <is>
          <t>VÄSTRA GÖTALANDS LÄN</t>
        </is>
      </c>
      <c r="G211" t="inlineStr">
        <is>
          <t>GÖTENE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46306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Övriga Aktiebolag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46306</v>
      </c>
      <c r="F213" t="inlineStr">
        <is>
          <t>VÄSTRA GÖTALANDS LÄN</t>
        </is>
      </c>
      <c r="G213" t="inlineStr">
        <is>
          <t>GÖTENE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46238</v>
      </c>
      <c r="E214" s="1" t="n">
        <v>46306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46182</v>
      </c>
      <c r="E215" s="1" t="n">
        <v>46306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46306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46306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46306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46306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46306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46296</v>
      </c>
      <c r="E221" s="1" t="n">
        <v>46306</v>
      </c>
      <c r="F221" t="inlineStr">
        <is>
          <t>VÄSTRA GÖTALANDS LÄN</t>
        </is>
      </c>
      <c r="G221" t="inlineStr">
        <is>
          <t>GÖTENE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46252</v>
      </c>
      <c r="E222" s="1" t="n">
        <v>46306</v>
      </c>
      <c r="F222" t="inlineStr">
        <is>
          <t>VÄSTRA GÖTALANDS LÄN</t>
        </is>
      </c>
      <c r="G222" t="inlineStr">
        <is>
          <t>GÖTENE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46306</v>
      </c>
      <c r="F223" t="inlineStr">
        <is>
          <t>VÄSTRA GÖTALANDS LÄN</t>
        </is>
      </c>
      <c r="G223" t="inlineStr">
        <is>
          <t>GÖTENE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46306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46306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46306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2026-10-11T02:07:23Z</dcterms:created>
  <dcterms:modified xmlns:dcterms="http://purl.org/dc/terms/" xmlns:xsi="http://www.w3.org/2001/XMLSchema-instance" xsi:type="dcterms:W3CDTF">2026-10-11T02:07:23Z</dcterms:modified>
</cp:coreProperties>
</file>