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32140-2026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46252</v>
      </c>
      <c r="F9" t="inlineStr">
        <is>
          <t>VÄSTRA GÖTALANDS LÄN</t>
        </is>
      </c>
      <c r="G9" t="inlineStr">
        <is>
          <t>GÖTENE</t>
        </is>
      </c>
      <c r="I9" t="n">
        <v>9.800000000000001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Guldlockmossa
Rostfläck</t>
        </is>
      </c>
      <c r="W9">
        <f>HYPERLINK("https://klasma.github.io/Logging_1471/artfynd/A 32140-2026 artfynd.xlsx", "A 32140-2026")</f>
        <v/>
      </c>
      <c r="X9">
        <f>HYPERLINK("https://klasma.github.io/Logging_1471/kartor/A 32140-2026 karta.png", "A 32140-2026")</f>
        <v/>
      </c>
      <c r="Y9">
        <f>HYPERLINK("https://klasma.github.io/Logging_1471/kartor_geotiff/A 32140-2026 georefererad karta.tif", "A 32140-2026")</f>
        <v/>
      </c>
      <c r="AA9">
        <f>HYPERLINK("https://klasma.github.io/Logging_1471/klagomål/A 32140-2026 FSC-klagomål.docx", "A 32140-2026")</f>
        <v/>
      </c>
      <c r="AB9">
        <f>HYPERLINK("https://klasma.github.io/Logging_1471/klagomålsmail/A 32140-2026 FSC-klagomål mail.docx", "A 32140-2026")</f>
        <v/>
      </c>
      <c r="AC9">
        <f>HYPERLINK("https://klasma.github.io/Logging_1471/tillsyn/A 32140-2026 tillsynsbegäran.docx", "A 32140-2026")</f>
        <v/>
      </c>
      <c r="AD9">
        <f>HYPERLINK("https://klasma.github.io/Logging_1471/tillsynsmail/A 32140-2026 tillsynsbegäran mail.docx", "A 32140-2026")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46252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32909-2025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45839</v>
      </c>
      <c r="E13" s="1" t="n">
        <v>46252</v>
      </c>
      <c r="F13" t="inlineStr">
        <is>
          <t>VÄSTRA GÖTALANDS LÄN</t>
        </is>
      </c>
      <c r="G13" t="inlineStr">
        <is>
          <t>GÖTENE</t>
        </is>
      </c>
      <c r="I13" t="n">
        <v>1.1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Jungfrulin</t>
        </is>
      </c>
      <c r="W13">
        <f>HYPERLINK("https://klasma.github.io/Logging_1471/artfynd/A 32909-2025 artfynd.xlsx", "A 32909-2025")</f>
        <v/>
      </c>
      <c r="X13">
        <f>HYPERLINK("https://klasma.github.io/Logging_1471/kartor/A 32909-2025 karta.png", "A 32909-2025")</f>
        <v/>
      </c>
      <c r="Y13">
        <f>HYPERLINK("https://klasma.github.io/Logging_1471/kartor_geotiff/A 32909-2025 georefererad karta.tif", "A 32909-2025")</f>
        <v/>
      </c>
      <c r="AA13">
        <f>HYPERLINK("https://klasma.github.io/Logging_1471/klagomål/A 32909-2025 FSC-klagomål.docx", "A 32909-2025")</f>
        <v/>
      </c>
      <c r="AB13">
        <f>HYPERLINK("https://klasma.github.io/Logging_1471/klagomålsmail/A 32909-2025 FSC-klagomål mail.docx", "A 32909-2025")</f>
        <v/>
      </c>
      <c r="AC13">
        <f>HYPERLINK("https://klasma.github.io/Logging_1471/tillsyn/A 32909-2025 tillsynsbegäran.docx", "A 32909-2025")</f>
        <v/>
      </c>
      <c r="AD13">
        <f>HYPERLINK("https://klasma.github.io/Logging_1471/tillsynsmail/A 32909-2025 tillsynsbegäran mail.docx", "A 32909-2025")</f>
        <v/>
      </c>
    </row>
    <row r="14" ht="15" customHeight="1">
      <c r="A14" t="inlineStr">
        <is>
          <t>A 47393-2025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46252</v>
      </c>
      <c r="F14" t="inlineStr">
        <is>
          <t>VÄSTRA GÖTALANDS LÄN</t>
        </is>
      </c>
      <c r="G14" t="inlineStr">
        <is>
          <t>GÖTENE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Korallticka</t>
        </is>
      </c>
      <c r="W14">
        <f>HYPERLINK("https://klasma.github.io/Logging_1471/artfynd/A 47393-2025 artfynd.xlsx", "A 47393-2025")</f>
        <v/>
      </c>
      <c r="X14">
        <f>HYPERLINK("https://klasma.github.io/Logging_1471/kartor/A 47393-2025 karta.png", "A 47393-2025")</f>
        <v/>
      </c>
      <c r="Y14">
        <f>HYPERLINK("https://klasma.github.io/Logging_1471/kartor_geotiff/A 47393-2025 georefererad karta.tif", "A 47393-2025")</f>
        <v/>
      </c>
      <c r="AA14">
        <f>HYPERLINK("https://klasma.github.io/Logging_1471/klagomål/A 47393-2025 FSC-klagomål.docx", "A 47393-2025")</f>
        <v/>
      </c>
      <c r="AB14">
        <f>HYPERLINK("https://klasma.github.io/Logging_1471/klagomålsmail/A 47393-2025 FSC-klagomål mail.docx", "A 47393-2025")</f>
        <v/>
      </c>
      <c r="AC14">
        <f>HYPERLINK("https://klasma.github.io/Logging_1471/tillsyn/A 47393-2025 tillsynsbegäran.docx", "A 47393-2025")</f>
        <v/>
      </c>
      <c r="AD14">
        <f>HYPERLINK("https://klasma.github.io/Logging_1471/tillsynsmail/A 47393-2025 tillsynsbegäran mail.docx", "A 47393-2025")</f>
        <v/>
      </c>
    </row>
    <row r="15" ht="15" customHeight="1">
      <c r="A15" t="inlineStr">
        <is>
          <t>A 50366-2025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45944</v>
      </c>
      <c r="E15" s="1" t="n">
        <v>46252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50366-2025 artfynd.xlsx", "A 50366-2025")</f>
        <v/>
      </c>
      <c r="X15">
        <f>HYPERLINK("https://klasma.github.io/Logging_1471/kartor/A 50366-2025 karta.png", "A 50366-2025")</f>
        <v/>
      </c>
      <c r="Y15">
        <f>HYPERLINK("https://klasma.github.io/Logging_1471/kartor_geotiff/A 50366-2025 georefererad karta.tif", "A 50366-2025")</f>
        <v/>
      </c>
      <c r="AA15">
        <f>HYPERLINK("https://klasma.github.io/Logging_1471/klagomål/A 50366-2025 FSC-klagomål.docx", "A 50366-2025")</f>
        <v/>
      </c>
      <c r="AB15">
        <f>HYPERLINK("https://klasma.github.io/Logging_1471/klagomålsmail/A 50366-2025 FSC-klagomål mail.docx", "A 50366-2025")</f>
        <v/>
      </c>
      <c r="AC15">
        <f>HYPERLINK("https://klasma.github.io/Logging_1471/tillsyn/A 50366-2025 tillsynsbegäran.docx", "A 50366-2025")</f>
        <v/>
      </c>
      <c r="AD15">
        <f>HYPERLINK("https://klasma.github.io/Logging_1471/tillsynsmail/A 50366-2025 tillsynsbegäran mail.docx", "A 50366-2025")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46252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19083-2022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44691</v>
      </c>
      <c r="E17" s="1" t="n">
        <v>46252</v>
      </c>
      <c r="F17" t="inlineStr">
        <is>
          <t>VÄSTRA GÖTALANDS LÄN</t>
        </is>
      </c>
      <c r="G17" t="inlineStr">
        <is>
          <t>GÖTENE</t>
        </is>
      </c>
      <c r="I17" t="n">
        <v>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Läderbagge</t>
        </is>
      </c>
      <c r="W17">
        <f>HYPERLINK("https://klasma.github.io/Logging_1471/artfynd/A 19083-2022 artfynd.xlsx", "A 19083-2022")</f>
        <v/>
      </c>
      <c r="X17">
        <f>HYPERLINK("https://klasma.github.io/Logging_1471/kartor/A 19083-2022 karta.png", "A 19083-2022")</f>
        <v/>
      </c>
      <c r="Y17">
        <f>HYPERLINK("https://klasma.github.io/Logging_1471/kartor_geotiff/A 19083-2022 georefererad karta.tif", "A 19083-2022")</f>
        <v/>
      </c>
      <c r="AA17">
        <f>HYPERLINK("https://klasma.github.io/Logging_1471/klagomål/A 19083-2022 FSC-klagomål.docx", "A 19083-2022")</f>
        <v/>
      </c>
      <c r="AB17">
        <f>HYPERLINK("https://klasma.github.io/Logging_1471/klagomålsmail/A 19083-2022 FSC-klagomål mail.docx", "A 19083-2022")</f>
        <v/>
      </c>
      <c r="AC17">
        <f>HYPERLINK("https://klasma.github.io/Logging_1471/tillsyn/A 19083-2022 tillsynsbegäran.docx", "A 19083-2022")</f>
        <v/>
      </c>
      <c r="AD17">
        <f>HYPERLINK("https://klasma.github.io/Logging_1471/tillsynsmail/A 19083-2022 tillsynsbegäran mail.docx", "A 19083-2022")</f>
        <v/>
      </c>
    </row>
    <row r="18" ht="15" customHeight="1">
      <c r="A18" t="inlineStr">
        <is>
          <t>A 14296-2023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45011</v>
      </c>
      <c r="E18" s="1" t="n">
        <v>46252</v>
      </c>
      <c r="F18" t="inlineStr">
        <is>
          <t>VÄSTRA GÖTALANDS LÄN</t>
        </is>
      </c>
      <c r="G18" t="inlineStr">
        <is>
          <t>GÖTENE</t>
        </is>
      </c>
      <c r="I18" t="n">
        <v>1.7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Pilgrimsfalk</t>
        </is>
      </c>
      <c r="W18">
        <f>HYPERLINK("https://klasma.github.io/Logging_1471/artfynd/A 14296-2023 artfynd.xlsx", "A 14296-2023")</f>
        <v/>
      </c>
      <c r="X18">
        <f>HYPERLINK("https://klasma.github.io/Logging_1471/kartor/A 14296-2023 karta.png", "A 14296-2023")</f>
        <v/>
      </c>
      <c r="Y18">
        <f>HYPERLINK("https://klasma.github.io/Logging_1471/kartor_geotiff/A 14296-2023 georefererad karta.tif", "A 14296-2023")</f>
        <v/>
      </c>
      <c r="AA18">
        <f>HYPERLINK("https://klasma.github.io/Logging_1471/klagomål/A 14296-2023 FSC-klagomål.docx", "A 14296-2023")</f>
        <v/>
      </c>
      <c r="AB18">
        <f>HYPERLINK("https://klasma.github.io/Logging_1471/klagomålsmail/A 14296-2023 FSC-klagomål mail.docx", "A 14296-2023")</f>
        <v/>
      </c>
      <c r="AC18">
        <f>HYPERLINK("https://klasma.github.io/Logging_1471/tillsyn/A 14296-2023 tillsynsbegäran.docx", "A 14296-2023")</f>
        <v/>
      </c>
      <c r="AD18">
        <f>HYPERLINK("https://klasma.github.io/Logging_1471/tillsynsmail/A 14296-2023 tillsynsbegäran mail.docx", "A 14296-2023")</f>
        <v/>
      </c>
      <c r="AE18">
        <f>HYPERLINK("https://klasma.github.io/Logging_1471/fåglar/A 14296-2023 prioriterade fågelarter.docx", "A 14296-2023")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46252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1895-2026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46252</v>
      </c>
      <c r="F20" t="inlineStr">
        <is>
          <t>VÄSTRA GÖTALANDS LÄN</t>
        </is>
      </c>
      <c r="G20" t="inlineStr">
        <is>
          <t>GÖTENE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Backmåra</t>
        </is>
      </c>
      <c r="W20">
        <f>HYPERLINK("https://klasma.github.io/Logging_1471/artfynd/A 1895-2026 artfynd.xlsx", "A 1895-2026")</f>
        <v/>
      </c>
      <c r="X20">
        <f>HYPERLINK("https://klasma.github.io/Logging_1471/kartor/A 1895-2026 karta.png", "A 1895-2026")</f>
        <v/>
      </c>
      <c r="Y20">
        <f>HYPERLINK("https://klasma.github.io/Logging_1471/kartor_geotiff/A 1895-2026 georefererad karta.tif", "A 1895-2026")</f>
        <v/>
      </c>
      <c r="AA20">
        <f>HYPERLINK("https://klasma.github.io/Logging_1471/klagomål/A 1895-2026 FSC-klagomål.docx", "A 1895-2026")</f>
        <v/>
      </c>
      <c r="AB20">
        <f>HYPERLINK("https://klasma.github.io/Logging_1471/klagomålsmail/A 1895-2026 FSC-klagomål mail.docx", "A 1895-2026")</f>
        <v/>
      </c>
      <c r="AC20">
        <f>HYPERLINK("https://klasma.github.io/Logging_1471/tillsyn/A 1895-2026 tillsynsbegäran.docx", "A 1895-2026")</f>
        <v/>
      </c>
      <c r="AD20">
        <f>HYPERLINK("https://klasma.github.io/Logging_1471/tillsynsmail/A 1895-2026 tillsynsbegäran mail.docx", "A 1895-2026")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46252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46252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18647-2025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46252</v>
      </c>
      <c r="F23" t="inlineStr">
        <is>
          <t>VÄSTRA GÖTALANDS LÄN</t>
        </is>
      </c>
      <c r="G23" t="inlineStr">
        <is>
          <t>GÖTENE</t>
        </is>
      </c>
      <c r="H23" t="inlineStr">
        <is>
          <t>Kommuner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HYPERLINK("https://klasma.github.io/Logging_1471/artfynd/A 18647-2025 artfynd.xlsx", "A 18647-2025")</f>
        <v/>
      </c>
      <c r="X23">
        <f>HYPERLINK("https://klasma.github.io/Logging_1471/kartor/A 18647-2025 karta.png", "A 18647-2025")</f>
        <v/>
      </c>
      <c r="Y23">
        <f>HYPERLINK("https://klasma.github.io/Logging_1471/kartor_geotiff/A 18647-2025 georefererad karta.tif", "A 18647-2025")</f>
        <v/>
      </c>
      <c r="AA23">
        <f>HYPERLINK("https://klasma.github.io/Logging_1471/klagomål/A 18647-2025 FSC-klagomål.docx", "A 18647-2025")</f>
        <v/>
      </c>
      <c r="AB23">
        <f>HYPERLINK("https://klasma.github.io/Logging_1471/klagomålsmail/A 18647-2025 FSC-klagomål mail.docx", "A 18647-2025")</f>
        <v/>
      </c>
      <c r="AC23">
        <f>HYPERLINK("https://klasma.github.io/Logging_1471/tillsyn/A 18647-2025 tillsynsbegäran.docx", "A 18647-2025")</f>
        <v/>
      </c>
      <c r="AD23">
        <f>HYPERLINK("https://klasma.github.io/Logging_1471/tillsynsmail/A 18647-2025 tillsynsbegäran mail.docx", "A 18647-2025")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46252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46252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A 31326-2026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46252</v>
      </c>
      <c r="F26" t="inlineStr">
        <is>
          <t>VÄSTRA GÖTALANDS LÄN</t>
        </is>
      </c>
      <c r="G26" t="inlineStr">
        <is>
          <t>GÖTENE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HYPERLINK("https://klasma.github.io/Logging_1471/artfynd/A 31326-2026 artfynd.xlsx", "A 31326-2026")</f>
        <v/>
      </c>
      <c r="X26">
        <f>HYPERLINK("https://klasma.github.io/Logging_1471/kartor/A 31326-2026 karta.png", "A 31326-2026")</f>
        <v/>
      </c>
      <c r="Y26">
        <f>HYPERLINK("https://klasma.github.io/Logging_1471/kartor_geotiff/A 31326-2026 georefererad karta.tif", "A 31326-2026")</f>
        <v/>
      </c>
      <c r="AA26">
        <f>HYPERLINK("https://klasma.github.io/Logging_1471/klagomål/A 31326-2026 FSC-klagomål.docx", "A 31326-2026")</f>
        <v/>
      </c>
      <c r="AB26">
        <f>HYPERLINK("https://klasma.github.io/Logging_1471/klagomålsmail/A 31326-2026 FSC-klagomål mail.docx", "A 31326-2026")</f>
        <v/>
      </c>
      <c r="AC26">
        <f>HYPERLINK("https://klasma.github.io/Logging_1471/tillsyn/A 31326-2026 tillsynsbegäran.docx", "A 31326-2026")</f>
        <v/>
      </c>
      <c r="AD26">
        <f>HYPERLINK("https://klasma.github.io/Logging_1471/tillsynsmail/A 31326-2026 tillsynsbegäran mail.docx", "A 31326-2026")</f>
        <v/>
      </c>
      <c r="AE26">
        <f>HYPERLINK("https://klasma.github.io/Logging_1471/fåglar/A 31326-2026 prioriterade fågelarter.docx", "A 31326-2026")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46252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46252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46252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46252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46252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46252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46252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46252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46252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46252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46252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46252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46252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46252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46252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46252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46252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46252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46252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46252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46252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46252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46252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46252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46252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46252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46252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46252</v>
      </c>
      <c r="F56" t="inlineStr">
        <is>
          <t>VÄSTRA GÖTALANDS LÄN</t>
        </is>
      </c>
      <c r="G56" t="inlineStr">
        <is>
          <t>GÖTENE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46252</v>
      </c>
      <c r="F57" t="inlineStr">
        <is>
          <t>VÄSTRA GÖTALANDS LÄN</t>
        </is>
      </c>
      <c r="G57" t="inlineStr">
        <is>
          <t>GÖTENE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45819</v>
      </c>
      <c r="E58" s="1" t="n">
        <v>46252</v>
      </c>
      <c r="F58" t="inlineStr">
        <is>
          <t>VÄSTRA GÖTALANDS LÄN</t>
        </is>
      </c>
      <c r="G58" t="inlineStr">
        <is>
          <t>GÖTENE</t>
        </is>
      </c>
      <c r="H58" t="inlineStr">
        <is>
          <t>Övriga Aktiebolag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10451-2024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46252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36244-2022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44803</v>
      </c>
      <c r="E60" s="1" t="n">
        <v>46252</v>
      </c>
      <c r="F60" t="inlineStr">
        <is>
          <t>VÄSTRA GÖTALANDS LÄN</t>
        </is>
      </c>
      <c r="G60" t="inlineStr">
        <is>
          <t>GÖTENE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46252</v>
      </c>
      <c r="F61" t="inlineStr">
        <is>
          <t>VÄSTRA GÖTALANDS LÄN</t>
        </is>
      </c>
      <c r="G61" t="inlineStr">
        <is>
          <t>GÖTENE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46252</v>
      </c>
      <c r="F62" t="inlineStr">
        <is>
          <t>VÄSTRA GÖTALANDS LÄN</t>
        </is>
      </c>
      <c r="G62" t="inlineStr">
        <is>
          <t>GÖTENE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46252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46252</v>
      </c>
      <c r="F64" t="inlineStr">
        <is>
          <t>VÄSTRA GÖTALANDS LÄN</t>
        </is>
      </c>
      <c r="G64" t="inlineStr">
        <is>
          <t>GÖTENE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12660-2023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45000</v>
      </c>
      <c r="E65" s="1" t="n">
        <v>46252</v>
      </c>
      <c r="F65" t="inlineStr">
        <is>
          <t>VÄSTRA GÖTALANDS LÄN</t>
        </is>
      </c>
      <c r="G65" t="inlineStr">
        <is>
          <t>GÖTENE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22055-2023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45069</v>
      </c>
      <c r="E66" s="1" t="n">
        <v>46252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46252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45366</v>
      </c>
      <c r="E68" s="1" t="n">
        <v>46252</v>
      </c>
      <c r="F68" t="inlineStr">
        <is>
          <t>VÄSTRA GÖTALANDS LÄN</t>
        </is>
      </c>
      <c r="G68" t="inlineStr">
        <is>
          <t>GÖTENE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46252</v>
      </c>
      <c r="F69" t="inlineStr">
        <is>
          <t>VÄSTRA GÖTALANDS LÄN</t>
        </is>
      </c>
      <c r="G69" t="inlineStr">
        <is>
          <t>GÖTENE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46252</v>
      </c>
      <c r="F70" t="inlineStr">
        <is>
          <t>VÄSTRA GÖTALANDS LÄN</t>
        </is>
      </c>
      <c r="G70" t="inlineStr">
        <is>
          <t>GÖTENE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46252</v>
      </c>
      <c r="F71" t="inlineStr">
        <is>
          <t>VÄSTRA GÖTALANDS LÄN</t>
        </is>
      </c>
      <c r="G71" t="inlineStr">
        <is>
          <t>GÖTENE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45623</v>
      </c>
      <c r="E72" s="1" t="n">
        <v>46252</v>
      </c>
      <c r="F72" t="inlineStr">
        <is>
          <t>VÄSTRA GÖTALANDS LÄN</t>
        </is>
      </c>
      <c r="G72" t="inlineStr">
        <is>
          <t>GÖTENE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45152</v>
      </c>
      <c r="E73" s="1" t="n">
        <v>46252</v>
      </c>
      <c r="F73" t="inlineStr">
        <is>
          <t>VÄSTRA GÖTALANDS LÄN</t>
        </is>
      </c>
      <c r="G73" t="inlineStr">
        <is>
          <t>GÖTENE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46252</v>
      </c>
      <c r="F74" t="inlineStr">
        <is>
          <t>VÄSTRA GÖTALANDS LÄN</t>
        </is>
      </c>
      <c r="G74" t="inlineStr">
        <is>
          <t>GÖTENE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46252</v>
      </c>
      <c r="F75" t="inlineStr">
        <is>
          <t>VÄSTRA GÖTALANDS LÄN</t>
        </is>
      </c>
      <c r="G75" t="inlineStr">
        <is>
          <t>GÖTENE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46252</v>
      </c>
      <c r="F76" t="inlineStr">
        <is>
          <t>VÄSTRA GÖTALANDS LÄN</t>
        </is>
      </c>
      <c r="G76" t="inlineStr">
        <is>
          <t>GÖTENE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19683-2023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46252</v>
      </c>
      <c r="F77" t="inlineStr">
        <is>
          <t>VÄSTRA GÖTALANDS LÄN</t>
        </is>
      </c>
      <c r="G77" t="inlineStr">
        <is>
          <t>GÖTENE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46252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46252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Kyrkan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46252</v>
      </c>
      <c r="F80" t="inlineStr">
        <is>
          <t>VÄSTRA GÖTALANDS LÄN</t>
        </is>
      </c>
      <c r="G80" t="inlineStr">
        <is>
          <t>GÖTENE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44967</v>
      </c>
      <c r="E81" s="1" t="n">
        <v>46252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46252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46252</v>
      </c>
      <c r="F83" t="inlineStr">
        <is>
          <t>VÄSTRA GÖTALANDS LÄN</t>
        </is>
      </c>
      <c r="G83" t="inlineStr">
        <is>
          <t>GÖTENE</t>
        </is>
      </c>
      <c r="H83" t="inlineStr">
        <is>
          <t>Kyrkan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46252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46252</v>
      </c>
      <c r="F85" t="inlineStr">
        <is>
          <t>VÄSTRA GÖTALANDS LÄN</t>
        </is>
      </c>
      <c r="G85" t="inlineStr">
        <is>
          <t>GÖTENE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46252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46252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46252</v>
      </c>
      <c r="F88" t="inlineStr">
        <is>
          <t>VÄSTRA GÖTALANDS LÄN</t>
        </is>
      </c>
      <c r="G88" t="inlineStr">
        <is>
          <t>GÖTENE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46252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46252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Övriga Aktiebolag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49700-2021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46252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46252</v>
      </c>
      <c r="F92" t="inlineStr">
        <is>
          <t>VÄSTRA GÖTALANDS LÄN</t>
        </is>
      </c>
      <c r="G92" t="inlineStr">
        <is>
          <t>GÖTENE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44931</v>
      </c>
      <c r="E93" s="1" t="n">
        <v>46252</v>
      </c>
      <c r="F93" t="inlineStr">
        <is>
          <t>VÄSTRA GÖTALANDS LÄN</t>
        </is>
      </c>
      <c r="G93" t="inlineStr">
        <is>
          <t>GÖTENE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46252</v>
      </c>
      <c r="F94" t="inlineStr">
        <is>
          <t>VÄSTRA GÖTALANDS LÄN</t>
        </is>
      </c>
      <c r="G94" t="inlineStr">
        <is>
          <t>GÖTENE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46252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46252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46252</v>
      </c>
      <c r="F97" t="inlineStr">
        <is>
          <t>VÄSTRA GÖTALANDS LÄN</t>
        </is>
      </c>
      <c r="G97" t="inlineStr">
        <is>
          <t>GÖTENE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46252</v>
      </c>
      <c r="F98" t="inlineStr">
        <is>
          <t>VÄSTRA GÖTALANDS LÄN</t>
        </is>
      </c>
      <c r="G98" t="inlineStr">
        <is>
          <t>GÖTENE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52141-2025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46252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44777</v>
      </c>
      <c r="E100" s="1" t="n">
        <v>46252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45376</v>
      </c>
      <c r="E101" s="1" t="n">
        <v>46252</v>
      </c>
      <c r="F101" t="inlineStr">
        <is>
          <t>VÄSTRA GÖTALANDS LÄN</t>
        </is>
      </c>
      <c r="G101" t="inlineStr">
        <is>
          <t>GÖTENE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46252</v>
      </c>
      <c r="F102" t="inlineStr">
        <is>
          <t>VÄSTRA GÖTALANDS LÄN</t>
        </is>
      </c>
      <c r="G102" t="inlineStr">
        <is>
          <t>GÖTENE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45373</v>
      </c>
      <c r="E103" s="1" t="n">
        <v>46252</v>
      </c>
      <c r="F103" t="inlineStr">
        <is>
          <t>VÄSTRA GÖTALANDS LÄN</t>
        </is>
      </c>
      <c r="G103" t="inlineStr">
        <is>
          <t>GÖTENE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46252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46252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46252</v>
      </c>
      <c r="F106" t="inlineStr">
        <is>
          <t>VÄSTRA GÖTALANDS LÄN</t>
        </is>
      </c>
      <c r="G106" t="inlineStr">
        <is>
          <t>GÖTENE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46252</v>
      </c>
      <c r="F107" t="inlineStr">
        <is>
          <t>VÄSTRA GÖTALANDS LÄN</t>
        </is>
      </c>
      <c r="G107" t="inlineStr">
        <is>
          <t>GÖTENE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46252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44924</v>
      </c>
      <c r="E109" s="1" t="n">
        <v>46252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44676</v>
      </c>
      <c r="E110" s="1" t="n">
        <v>46252</v>
      </c>
      <c r="F110" t="inlineStr">
        <is>
          <t>VÄSTRA GÖTALANDS LÄN</t>
        </is>
      </c>
      <c r="G110" t="inlineStr">
        <is>
          <t>GÖTENE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46252</v>
      </c>
      <c r="F111" t="inlineStr">
        <is>
          <t>VÄSTRA GÖTALANDS LÄN</t>
        </is>
      </c>
      <c r="G111" t="inlineStr">
        <is>
          <t>GÖTENE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46252</v>
      </c>
      <c r="F112" t="inlineStr">
        <is>
          <t>VÄSTRA GÖTALANDS LÄN</t>
        </is>
      </c>
      <c r="G112" t="inlineStr">
        <is>
          <t>GÖTENE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46252</v>
      </c>
      <c r="F113" t="inlineStr">
        <is>
          <t>VÄSTRA GÖTALANDS LÄN</t>
        </is>
      </c>
      <c r="G113" t="inlineStr">
        <is>
          <t>GÖTENE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61021-2022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44914</v>
      </c>
      <c r="E114" s="1" t="n">
        <v>46252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46252</v>
      </c>
      <c r="F115" t="inlineStr">
        <is>
          <t>VÄSTRA GÖTALANDS LÄN</t>
        </is>
      </c>
      <c r="G115" t="inlineStr">
        <is>
          <t>GÖTENE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46252</v>
      </c>
      <c r="F116" t="inlineStr">
        <is>
          <t>VÄSTRA GÖTALANDS LÄN</t>
        </is>
      </c>
      <c r="G116" t="inlineStr">
        <is>
          <t>GÖTENE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44844</v>
      </c>
      <c r="E117" s="1" t="n">
        <v>46252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46252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46252</v>
      </c>
      <c r="F119" t="inlineStr">
        <is>
          <t>VÄSTRA GÖTALANDS LÄN</t>
        </is>
      </c>
      <c r="G119" t="inlineStr">
        <is>
          <t>GÖTENE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46252</v>
      </c>
      <c r="F120" t="inlineStr">
        <is>
          <t>VÄSTRA GÖTALANDS LÄN</t>
        </is>
      </c>
      <c r="G120" t="inlineStr">
        <is>
          <t>GÖTENE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46252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46252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46252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46252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25777-2026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46178</v>
      </c>
      <c r="E125" s="1" t="n">
        <v>46252</v>
      </c>
      <c r="F125" t="inlineStr">
        <is>
          <t>VÄSTRA GÖTALANDS LÄN</t>
        </is>
      </c>
      <c r="G125" t="inlineStr">
        <is>
          <t>GÖTENE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46220</v>
      </c>
      <c r="E126" s="1" t="n">
        <v>46252</v>
      </c>
      <c r="F126" t="inlineStr">
        <is>
          <t>VÄSTRA GÖTALANDS LÄN</t>
        </is>
      </c>
      <c r="G126" t="inlineStr">
        <is>
          <t>GÖTENE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46252</v>
      </c>
      <c r="F127" t="inlineStr">
        <is>
          <t>VÄSTRA GÖTALANDS LÄN</t>
        </is>
      </c>
      <c r="G127" t="inlineStr">
        <is>
          <t>GÖTENE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46220</v>
      </c>
      <c r="E128" s="1" t="n">
        <v>46252</v>
      </c>
      <c r="F128" t="inlineStr">
        <is>
          <t>VÄSTRA GÖTALANDS LÄN</t>
        </is>
      </c>
      <c r="G128" t="inlineStr">
        <is>
          <t>GÖTENE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45995</v>
      </c>
      <c r="E129" s="1" t="n">
        <v>46252</v>
      </c>
      <c r="F129" t="inlineStr">
        <is>
          <t>VÄSTRA GÖTALANDS LÄN</t>
        </is>
      </c>
      <c r="G129" t="inlineStr">
        <is>
          <t>GÖTENE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46252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46252</v>
      </c>
      <c r="F131" t="inlineStr">
        <is>
          <t>VÄSTRA GÖTALANDS LÄN</t>
        </is>
      </c>
      <c r="G131" t="inlineStr">
        <is>
          <t>GÖTENE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46252</v>
      </c>
      <c r="F132" t="inlineStr">
        <is>
          <t>VÄSTRA GÖTALANDS LÄN</t>
        </is>
      </c>
      <c r="G132" t="inlineStr">
        <is>
          <t>GÖTENE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46252</v>
      </c>
      <c r="F133" t="inlineStr">
        <is>
          <t>VÄSTRA GÖTALANDS LÄN</t>
        </is>
      </c>
      <c r="G133" t="inlineStr">
        <is>
          <t>GÖTENE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46252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46252</v>
      </c>
      <c r="F135" t="inlineStr">
        <is>
          <t>VÄSTRA GÖTALANDS LÄN</t>
        </is>
      </c>
      <c r="G135" t="inlineStr">
        <is>
          <t>GÖTENE</t>
        </is>
      </c>
      <c r="I135" t="n">
        <v>19.7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46252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46252</v>
      </c>
      <c r="F137" t="inlineStr">
        <is>
          <t>VÄSTRA GÖTALANDS LÄN</t>
        </is>
      </c>
      <c r="G137" t="inlineStr">
        <is>
          <t>GÖTENE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46252</v>
      </c>
      <c r="F138" t="inlineStr">
        <is>
          <t>VÄSTRA GÖTALANDS LÄN</t>
        </is>
      </c>
      <c r="G138" t="inlineStr">
        <is>
          <t>GÖTENE</t>
        </is>
      </c>
      <c r="I138" t="n">
        <v>14.7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46252</v>
      </c>
      <c r="F139" t="inlineStr">
        <is>
          <t>VÄSTRA GÖTALANDS LÄN</t>
        </is>
      </c>
      <c r="G139" t="inlineStr">
        <is>
          <t>GÖTENE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46252</v>
      </c>
      <c r="F140" t="inlineStr">
        <is>
          <t>VÄSTRA GÖTALANDS LÄN</t>
        </is>
      </c>
      <c r="G140" t="inlineStr">
        <is>
          <t>GÖTENE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44645</v>
      </c>
      <c r="E141" s="1" t="n">
        <v>46252</v>
      </c>
      <c r="F141" t="inlineStr">
        <is>
          <t>VÄSTRA GÖTALANDS LÄN</t>
        </is>
      </c>
      <c r="G141" t="inlineStr">
        <is>
          <t>GÖTENE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44645</v>
      </c>
      <c r="E142" s="1" t="n">
        <v>46252</v>
      </c>
      <c r="F142" t="inlineStr">
        <is>
          <t>VÄSTRA GÖTALANDS LÄN</t>
        </is>
      </c>
      <c r="G142" t="inlineStr">
        <is>
          <t>GÖTENE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46252</v>
      </c>
      <c r="F143" t="inlineStr">
        <is>
          <t>VÄSTRA GÖTALANDS LÄN</t>
        </is>
      </c>
      <c r="G143" t="inlineStr">
        <is>
          <t>GÖTENE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46252</v>
      </c>
      <c r="F144" t="inlineStr">
        <is>
          <t>VÄSTRA GÖTALANDS LÄN</t>
        </is>
      </c>
      <c r="G144" t="inlineStr">
        <is>
          <t>GÖTENE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45021</v>
      </c>
      <c r="E145" s="1" t="n">
        <v>46252</v>
      </c>
      <c r="F145" t="inlineStr">
        <is>
          <t>VÄSTRA GÖTALANDS LÄN</t>
        </is>
      </c>
      <c r="G145" t="inlineStr">
        <is>
          <t>GÖTENE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46252</v>
      </c>
      <c r="F146" t="inlineStr">
        <is>
          <t>VÄSTRA GÖTALANDS LÄN</t>
        </is>
      </c>
      <c r="G146" t="inlineStr">
        <is>
          <t>GÖTENE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46252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46252</v>
      </c>
      <c r="F148" t="inlineStr">
        <is>
          <t>VÄSTRA GÖTALANDS LÄN</t>
        </is>
      </c>
      <c r="G148" t="inlineStr">
        <is>
          <t>GÖTENE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46252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45152</v>
      </c>
      <c r="E150" s="1" t="n">
        <v>46252</v>
      </c>
      <c r="F150" t="inlineStr">
        <is>
          <t>VÄSTRA GÖTALANDS LÄN</t>
        </is>
      </c>
      <c r="G150" t="inlineStr">
        <is>
          <t>GÖTENE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46252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46252</v>
      </c>
      <c r="F152" t="inlineStr">
        <is>
          <t>VÄSTRA GÖTALANDS LÄN</t>
        </is>
      </c>
      <c r="G152" t="inlineStr">
        <is>
          <t>GÖTENE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46252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Övriga Aktiebolag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46252</v>
      </c>
      <c r="F154" t="inlineStr">
        <is>
          <t>VÄSTRA GÖTALANDS LÄN</t>
        </is>
      </c>
      <c r="G154" t="inlineStr">
        <is>
          <t>GÖTENE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46252</v>
      </c>
      <c r="F155" t="inlineStr">
        <is>
          <t>VÄSTRA GÖTALANDS LÄN</t>
        </is>
      </c>
      <c r="G155" t="inlineStr">
        <is>
          <t>GÖTENE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46252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46252</v>
      </c>
      <c r="F157" t="inlineStr">
        <is>
          <t>VÄSTRA GÖTALANDS LÄN</t>
        </is>
      </c>
      <c r="G157" t="inlineStr">
        <is>
          <t>GÖTENE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46252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46252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46252</v>
      </c>
      <c r="F160" t="inlineStr">
        <is>
          <t>VÄSTRA GÖTALANDS LÄN</t>
        </is>
      </c>
      <c r="G160" t="inlineStr">
        <is>
          <t>GÖTENE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46252</v>
      </c>
      <c r="F161" t="inlineStr">
        <is>
          <t>VÄSTRA GÖTALANDS LÄN</t>
        </is>
      </c>
      <c r="G161" t="inlineStr">
        <is>
          <t>GÖTENE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46252</v>
      </c>
      <c r="F162" t="inlineStr">
        <is>
          <t>VÄSTRA GÖTALANDS LÄN</t>
        </is>
      </c>
      <c r="G162" t="inlineStr">
        <is>
          <t>GÖTENE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46252</v>
      </c>
      <c r="F163" t="inlineStr">
        <is>
          <t>VÄSTRA GÖTALANDS LÄN</t>
        </is>
      </c>
      <c r="G163" t="inlineStr">
        <is>
          <t>GÖTENE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46252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46252</v>
      </c>
      <c r="F165" t="inlineStr">
        <is>
          <t>VÄSTRA GÖTALANDS LÄN</t>
        </is>
      </c>
      <c r="G165" t="inlineStr">
        <is>
          <t>GÖTENE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46252</v>
      </c>
      <c r="F166" t="inlineStr">
        <is>
          <t>VÄSTRA GÖTALANDS LÄN</t>
        </is>
      </c>
      <c r="G166" t="inlineStr">
        <is>
          <t>GÖTENE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46252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46252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46252</v>
      </c>
      <c r="F169" t="inlineStr">
        <is>
          <t>VÄSTRA GÖTALANDS LÄN</t>
        </is>
      </c>
      <c r="G169" t="inlineStr">
        <is>
          <t>GÖTENE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46252</v>
      </c>
      <c r="F170" t="inlineStr">
        <is>
          <t>VÄSTRA GÖTALANDS LÄN</t>
        </is>
      </c>
      <c r="G170" t="inlineStr">
        <is>
          <t>GÖTENE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46252</v>
      </c>
      <c r="F171" t="inlineStr">
        <is>
          <t>VÄSTRA GÖTALANDS LÄN</t>
        </is>
      </c>
      <c r="G171" t="inlineStr">
        <is>
          <t>GÖTENE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46252</v>
      </c>
      <c r="F172" t="inlineStr">
        <is>
          <t>VÄSTRA GÖTALANDS LÄN</t>
        </is>
      </c>
      <c r="G172" t="inlineStr">
        <is>
          <t>GÖTENE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49536-2021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44455</v>
      </c>
      <c r="E173" s="1" t="n">
        <v>46252</v>
      </c>
      <c r="F173" t="inlineStr">
        <is>
          <t>VÄSTRA GÖTALANDS LÄN</t>
        </is>
      </c>
      <c r="G173" t="inlineStr">
        <is>
          <t>GÖTENE</t>
        </is>
      </c>
      <c r="H173" t="inlineStr">
        <is>
          <t>Övriga Aktiebolag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46252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46237</v>
      </c>
      <c r="E175" s="1" t="n">
        <v>46252</v>
      </c>
      <c r="F175" t="inlineStr">
        <is>
          <t>VÄSTRA GÖTALANDS LÄN</t>
        </is>
      </c>
      <c r="G175" t="inlineStr">
        <is>
          <t>GÖTENE</t>
        </is>
      </c>
      <c r="H175" t="inlineStr">
        <is>
          <t>Övriga Aktiebolag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46252</v>
      </c>
      <c r="F176" t="inlineStr">
        <is>
          <t>VÄSTRA GÖTALANDS LÄN</t>
        </is>
      </c>
      <c r="G176" t="inlineStr">
        <is>
          <t>GÖTENE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46252</v>
      </c>
      <c r="F177" t="inlineStr">
        <is>
          <t>VÄSTRA GÖTALANDS LÄN</t>
        </is>
      </c>
      <c r="G177" t="inlineStr">
        <is>
          <t>GÖTENE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46238</v>
      </c>
      <c r="E178" s="1" t="n">
        <v>46252</v>
      </c>
      <c r="F178" t="inlineStr">
        <is>
          <t>VÄSTRA GÖTALANDS LÄN</t>
        </is>
      </c>
      <c r="G178" t="inlineStr">
        <is>
          <t>GÖTENE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46252</v>
      </c>
      <c r="F179" t="inlineStr">
        <is>
          <t>VÄSTRA GÖTALANDS LÄN</t>
        </is>
      </c>
      <c r="G179" t="inlineStr">
        <is>
          <t>GÖTENE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46252</v>
      </c>
      <c r="F180" t="inlineStr">
        <is>
          <t>VÄSTRA GÖTALANDS LÄN</t>
        </is>
      </c>
      <c r="G180" t="inlineStr">
        <is>
          <t>GÖTENE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46252</v>
      </c>
      <c r="F181" t="inlineStr">
        <is>
          <t>VÄSTRA GÖTALANDS LÄN</t>
        </is>
      </c>
      <c r="G181" t="inlineStr">
        <is>
          <t>GÖTENE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46238</v>
      </c>
      <c r="E182" s="1" t="n">
        <v>46252</v>
      </c>
      <c r="F182" t="inlineStr">
        <is>
          <t>VÄSTRA GÖTALANDS LÄN</t>
        </is>
      </c>
      <c r="G182" t="inlineStr">
        <is>
          <t>GÖTENE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46252</v>
      </c>
      <c r="F183" t="inlineStr">
        <is>
          <t>VÄSTRA GÖTALANDS LÄN</t>
        </is>
      </c>
      <c r="G183" t="inlineStr">
        <is>
          <t>GÖTENE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46252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Kommuner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46252</v>
      </c>
      <c r="F185" t="inlineStr">
        <is>
          <t>VÄSTRA GÖTALANDS LÄN</t>
        </is>
      </c>
      <c r="G185" t="inlineStr">
        <is>
          <t>GÖTENE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46252</v>
      </c>
      <c r="F186" t="inlineStr">
        <is>
          <t>VÄSTRA GÖTALANDS LÄN</t>
        </is>
      </c>
      <c r="G186" t="inlineStr">
        <is>
          <t>GÖTENE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46252</v>
      </c>
      <c r="F187" t="inlineStr">
        <is>
          <t>VÄSTRA GÖTALANDS LÄN</t>
        </is>
      </c>
      <c r="G187" t="inlineStr">
        <is>
          <t>GÖTENE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46252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46252</v>
      </c>
      <c r="F189" t="inlineStr">
        <is>
          <t>VÄSTRA GÖTALANDS LÄN</t>
        </is>
      </c>
      <c r="G189" t="inlineStr">
        <is>
          <t>GÖTENE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46252</v>
      </c>
      <c r="F190" t="inlineStr">
        <is>
          <t>VÄSTRA GÖTALANDS LÄN</t>
        </is>
      </c>
      <c r="G190" t="inlineStr">
        <is>
          <t>GÖTENE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46252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44757</v>
      </c>
      <c r="E192" s="1" t="n">
        <v>46252</v>
      </c>
      <c r="F192" t="inlineStr">
        <is>
          <t>VÄSTRA GÖTALANDS LÄN</t>
        </is>
      </c>
      <c r="G192" t="inlineStr">
        <is>
          <t>GÖTENE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46252</v>
      </c>
      <c r="F193" t="inlineStr">
        <is>
          <t>VÄSTRA GÖTALANDS LÄN</t>
        </is>
      </c>
      <c r="G193" t="inlineStr">
        <is>
          <t>GÖTENE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46252</v>
      </c>
      <c r="F194" t="inlineStr">
        <is>
          <t>VÄSTRA GÖTALANDS LÄN</t>
        </is>
      </c>
      <c r="G194" t="inlineStr">
        <is>
          <t>GÖTENE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46252</v>
      </c>
      <c r="F195" t="inlineStr">
        <is>
          <t>VÄSTRA GÖTALANDS LÄN</t>
        </is>
      </c>
      <c r="G195" t="inlineStr">
        <is>
          <t>GÖTENE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44931</v>
      </c>
      <c r="E196" s="1" t="n">
        <v>46252</v>
      </c>
      <c r="F196" t="inlineStr">
        <is>
          <t>VÄSTRA GÖTALANDS LÄN</t>
        </is>
      </c>
      <c r="G196" t="inlineStr">
        <is>
          <t>GÖTENE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46252</v>
      </c>
      <c r="F197" t="inlineStr">
        <is>
          <t>VÄSTRA GÖTALANDS LÄN</t>
        </is>
      </c>
      <c r="G197" t="inlineStr">
        <is>
          <t>GÖTENE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46252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46252</v>
      </c>
      <c r="F199" t="inlineStr">
        <is>
          <t>VÄSTRA GÖTALANDS LÄN</t>
        </is>
      </c>
      <c r="G199" t="inlineStr">
        <is>
          <t>GÖTENE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45803</v>
      </c>
      <c r="E200" s="1" t="n">
        <v>46252</v>
      </c>
      <c r="F200" t="inlineStr">
        <is>
          <t>VÄSTRA GÖTALANDS LÄN</t>
        </is>
      </c>
      <c r="G200" t="inlineStr">
        <is>
          <t>GÖTENE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46252</v>
      </c>
      <c r="F201" t="inlineStr">
        <is>
          <t>VÄSTRA GÖTALANDS LÄN</t>
        </is>
      </c>
      <c r="G201" t="inlineStr">
        <is>
          <t>GÖTENE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72879-2021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44547</v>
      </c>
      <c r="E202" s="1" t="n">
        <v>46252</v>
      </c>
      <c r="F202" t="inlineStr">
        <is>
          <t>VÄSTRA GÖTALANDS LÄN</t>
        </is>
      </c>
      <c r="G202" t="inlineStr">
        <is>
          <t>GÖTENE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46252</v>
      </c>
      <c r="F203" t="inlineStr">
        <is>
          <t>VÄSTRA GÖTALANDS LÄN</t>
        </is>
      </c>
      <c r="G203" t="inlineStr">
        <is>
          <t>GÖTENE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46252</v>
      </c>
      <c r="F204" t="inlineStr">
        <is>
          <t>VÄSTRA GÖTALANDS LÄN</t>
        </is>
      </c>
      <c r="G204" t="inlineStr">
        <is>
          <t>GÖTENE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45518</v>
      </c>
      <c r="E205" s="1" t="n">
        <v>46252</v>
      </c>
      <c r="F205" t="inlineStr">
        <is>
          <t>VÄSTRA GÖTALANDS LÄN</t>
        </is>
      </c>
      <c r="G205" t="inlineStr">
        <is>
          <t>GÖTENE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46252</v>
      </c>
      <c r="F206" t="inlineStr">
        <is>
          <t>VÄSTRA GÖTALANDS LÄN</t>
        </is>
      </c>
      <c r="G206" t="inlineStr">
        <is>
          <t>GÖTENE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46252</v>
      </c>
      <c r="F207" t="inlineStr">
        <is>
          <t>VÄSTRA GÖTALANDS LÄN</t>
        </is>
      </c>
      <c r="G207" t="inlineStr">
        <is>
          <t>GÖTENE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46252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46147</v>
      </c>
      <c r="E209" s="1" t="n">
        <v>46252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46252</v>
      </c>
      <c r="F210" t="inlineStr">
        <is>
          <t>VÄSTRA GÖTALANDS LÄN</t>
        </is>
      </c>
      <c r="G210" t="inlineStr">
        <is>
          <t>GÖTENE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46252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46252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Sveaskog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46252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46252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46160</v>
      </c>
      <c r="E215" s="1" t="n">
        <v>46252</v>
      </c>
      <c r="F215" t="inlineStr">
        <is>
          <t>VÄSTRA GÖTALANDS LÄN</t>
        </is>
      </c>
      <c r="G215" t="inlineStr">
        <is>
          <t>GÖTENE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16341-2025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45751</v>
      </c>
      <c r="E216" s="1" t="n">
        <v>46252</v>
      </c>
      <c r="F216" t="inlineStr">
        <is>
          <t>VÄSTRA GÖTALANDS LÄN</t>
        </is>
      </c>
      <c r="G216" t="inlineStr">
        <is>
          <t>GÖTENE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46160</v>
      </c>
      <c r="E217" s="1" t="n">
        <v>46252</v>
      </c>
      <c r="F217" t="inlineStr">
        <is>
          <t>VÄSTRA GÖTALANDS LÄN</t>
        </is>
      </c>
      <c r="G217" t="inlineStr">
        <is>
          <t>GÖTENE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46160</v>
      </c>
      <c r="E218" s="1" t="n">
        <v>46252</v>
      </c>
      <c r="F218" t="inlineStr">
        <is>
          <t>VÄSTRA GÖTALANDS LÄN</t>
        </is>
      </c>
      <c r="G218" t="inlineStr">
        <is>
          <t>GÖTENE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46252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46252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46252</v>
      </c>
      <c r="F221" t="inlineStr">
        <is>
          <t>VÄSTRA GÖTALANDS LÄN</t>
        </is>
      </c>
      <c r="G221" t="inlineStr">
        <is>
          <t>GÖTENE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46252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26105-2025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45805</v>
      </c>
      <c r="E223" s="1" t="n">
        <v>46252</v>
      </c>
      <c r="F223" t="inlineStr">
        <is>
          <t>VÄSTRA GÖTALANDS LÄN</t>
        </is>
      </c>
      <c r="G223" t="inlineStr">
        <is>
          <t>GÖTENE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45722</v>
      </c>
      <c r="E224" s="1" t="n">
        <v>46252</v>
      </c>
      <c r="F224" t="inlineStr">
        <is>
          <t>VÄSTRA GÖTALANDS LÄN</t>
        </is>
      </c>
      <c r="G224" t="inlineStr">
        <is>
          <t>GÖTENE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46219</v>
      </c>
      <c r="E225" s="1" t="n">
        <v>46252</v>
      </c>
      <c r="F225" t="inlineStr">
        <is>
          <t>VÄSTRA GÖTALANDS LÄN</t>
        </is>
      </c>
      <c r="G225" t="inlineStr">
        <is>
          <t>GÖTENE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46219</v>
      </c>
      <c r="E226" s="1" t="n">
        <v>46252</v>
      </c>
      <c r="F226" t="inlineStr">
        <is>
          <t>VÄSTRA GÖTALANDS LÄN</t>
        </is>
      </c>
      <c r="G226" t="inlineStr">
        <is>
          <t>GÖTENE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6120-2022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44862</v>
      </c>
      <c r="E227" s="1" t="n">
        <v>46252</v>
      </c>
      <c r="F227" t="inlineStr">
        <is>
          <t>VÄSTRA GÖTALANDS LÄN</t>
        </is>
      </c>
      <c r="G227" t="inlineStr">
        <is>
          <t>GÖTENE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615-2024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46252</v>
      </c>
      <c r="F228" t="inlineStr">
        <is>
          <t>VÄSTRA GÖTALANDS LÄN</t>
        </is>
      </c>
      <c r="G228" t="inlineStr">
        <is>
          <t>GÖTENE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614-2024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46252</v>
      </c>
      <c r="F229" t="inlineStr">
        <is>
          <t>VÄSTRA GÖTALANDS LÄN</t>
        </is>
      </c>
      <c r="G229" t="inlineStr">
        <is>
          <t>GÖTENE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2026-08-18T01:45:36Z</dcterms:created>
  <dcterms:modified xmlns:dcterms="http://purl.org/dc/terms/" xmlns:xsi="http://www.w3.org/2001/XMLSchema-instance" xsi:type="dcterms:W3CDTF">2026-08-18T01:45:36Z</dcterms:modified>
</cp:coreProperties>
</file>