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46224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46224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46224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46224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46224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46224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46224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46224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47393-2025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46224</v>
      </c>
      <c r="F14" t="inlineStr">
        <is>
          <t>VÄSTRA GÖTALANDS LÄN</t>
        </is>
      </c>
      <c r="G14" t="inlineStr">
        <is>
          <t>GÖTENE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Korallticka</t>
        </is>
      </c>
      <c r="W14">
        <f>HYPERLINK("https://klasma.github.io/Logging_1471/artfynd/A 47393-2025 artfynd.xlsx", "A 47393-2025")</f>
        <v/>
      </c>
      <c r="X14">
        <f>HYPERLINK("https://klasma.github.io/Logging_1471/kartor/A 47393-2025 karta.png", "A 47393-2025")</f>
        <v/>
      </c>
      <c r="Y14">
        <f>HYPERLINK("https://klasma.github.io/Logging_1471/kartor_geotiff/A 47393-2025 georefererad karta.tif", "A 47393-2025")</f>
        <v/>
      </c>
      <c r="AA14">
        <f>HYPERLINK("https://klasma.github.io/Logging_1471/klagomål/A 47393-2025 FSC-klagomål.docx", "A 47393-2025")</f>
        <v/>
      </c>
      <c r="AB14">
        <f>HYPERLINK("https://klasma.github.io/Logging_1471/klagomålsmail/A 47393-2025 FSC-klagomål mail.docx", "A 47393-2025")</f>
        <v/>
      </c>
      <c r="AC14">
        <f>HYPERLINK("https://klasma.github.io/Logging_1471/tillsyn/A 47393-2025 tillsynsbegäran.docx", "A 47393-2025")</f>
        <v/>
      </c>
      <c r="AD14">
        <f>HYPERLINK("https://klasma.github.io/Logging_1471/tillsynsmail/A 47393-2025 tillsynsbegäran mail.docx", "A 47393-2025")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46224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46224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1895-2026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46035</v>
      </c>
      <c r="E17" s="1" t="n">
        <v>46224</v>
      </c>
      <c r="F17" t="inlineStr">
        <is>
          <t>VÄSTRA GÖTALANDS LÄN</t>
        </is>
      </c>
      <c r="G17" t="inlineStr">
        <is>
          <t>GÖTENE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Backmåra</t>
        </is>
      </c>
      <c r="W17">
        <f>HYPERLINK("https://klasma.github.io/Logging_1471/artfynd/A 1895-2026 artfynd.xlsx", "A 1895-2026")</f>
        <v/>
      </c>
      <c r="X17">
        <f>HYPERLINK("https://klasma.github.io/Logging_1471/kartor/A 1895-2026 karta.png", "A 1895-2026")</f>
        <v/>
      </c>
      <c r="Y17">
        <f>HYPERLINK("https://klasma.github.io/Logging_1471/kartor_geotiff/A 1895-2026 georefererad karta.tif", "A 1895-2026")</f>
        <v/>
      </c>
      <c r="AA17">
        <f>HYPERLINK("https://klasma.github.io/Logging_1471/klagomål/A 1895-2026 FSC-klagomål.docx", "A 1895-2026")</f>
        <v/>
      </c>
      <c r="AB17">
        <f>HYPERLINK("https://klasma.github.io/Logging_1471/klagomålsmail/A 1895-2026 FSC-klagomål mail.docx", "A 1895-2026")</f>
        <v/>
      </c>
      <c r="AC17">
        <f>HYPERLINK("https://klasma.github.io/Logging_1471/tillsyn/A 1895-2026 tillsynsbegäran.docx", "A 1895-2026")</f>
        <v/>
      </c>
      <c r="AD17">
        <f>HYPERLINK("https://klasma.github.io/Logging_1471/tillsynsmail/A 1895-2026 tillsynsbegäran mail.docx", "A 1895-2026")</f>
        <v/>
      </c>
    </row>
    <row r="18" ht="15" customHeight="1">
      <c r="A18" t="inlineStr">
        <is>
          <t>A 45211-2022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46224</v>
      </c>
      <c r="F18" t="inlineStr">
        <is>
          <t>VÄSTRA GÖTALANDS LÄN</t>
        </is>
      </c>
      <c r="G18" t="inlineStr">
        <is>
          <t>GÖTENE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Kamjordstjärna</t>
        </is>
      </c>
      <c r="W18">
        <f>HYPERLINK("https://klasma.github.io/Logging_1471/artfynd/A 45211-2022 artfynd.xlsx", "A 45211-2022")</f>
        <v/>
      </c>
      <c r="X18">
        <f>HYPERLINK("https://klasma.github.io/Logging_1471/kartor/A 45211-2022 karta.png", "A 45211-2022")</f>
        <v/>
      </c>
      <c r="Y18">
        <f>HYPERLINK("https://klasma.github.io/Logging_1471/kartor_geotiff/A 45211-2022 georefererad karta.tif", "A 45211-2022")</f>
        <v/>
      </c>
      <c r="AA18">
        <f>HYPERLINK("https://klasma.github.io/Logging_1471/klagomål/A 45211-2022 FSC-klagomål.docx", "A 45211-2022")</f>
        <v/>
      </c>
      <c r="AB18">
        <f>HYPERLINK("https://klasma.github.io/Logging_1471/klagomålsmail/A 45211-2022 FSC-klagomål mail.docx", "A 45211-2022")</f>
        <v/>
      </c>
      <c r="AC18">
        <f>HYPERLINK("https://klasma.github.io/Logging_1471/tillsyn/A 45211-2022 tillsynsbegäran.docx", "A 45211-2022")</f>
        <v/>
      </c>
      <c r="AD18">
        <f>HYPERLINK("https://klasma.github.io/Logging_1471/tillsynsmail/A 45211-2022 tillsynsbegäran mail.docx", "A 45211-2022")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46224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46224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46224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46224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46224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46224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46224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46224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46224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46224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46224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46224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46224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46224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46224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46224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46224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46224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46224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46224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46224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46224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46224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46224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46224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46224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46224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46224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46224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46224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46224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46224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46224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46224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46224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46224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46224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46224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46224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46224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46224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46224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46224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16341-2025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45751</v>
      </c>
      <c r="E62" s="1" t="n">
        <v>46224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46224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46224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46224</v>
      </c>
      <c r="F65" t="inlineStr">
        <is>
          <t>VÄSTRA GÖTALANDS LÄN</t>
        </is>
      </c>
      <c r="G65" t="inlineStr">
        <is>
          <t>GÖTENE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46224</v>
      </c>
      <c r="F66" t="inlineStr">
        <is>
          <t>VÄSTRA GÖTALANDS LÄN</t>
        </is>
      </c>
      <c r="G66" t="inlineStr">
        <is>
          <t>GÖTENE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46224</v>
      </c>
      <c r="F67" t="inlineStr">
        <is>
          <t>VÄSTRA GÖTALANDS LÄN</t>
        </is>
      </c>
      <c r="G67" t="inlineStr">
        <is>
          <t>GÖTENE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46224</v>
      </c>
      <c r="F68" t="inlineStr">
        <is>
          <t>VÄSTRA GÖTALANDS LÄN</t>
        </is>
      </c>
      <c r="G68" t="inlineStr">
        <is>
          <t>GÖTENE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46224</v>
      </c>
      <c r="F69" t="inlineStr">
        <is>
          <t>VÄSTRA GÖTALANDS LÄN</t>
        </is>
      </c>
      <c r="G69" t="inlineStr">
        <is>
          <t>GÖTENE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46224</v>
      </c>
      <c r="F70" t="inlineStr">
        <is>
          <t>VÄSTRA GÖTALANDS LÄN</t>
        </is>
      </c>
      <c r="G70" t="inlineStr">
        <is>
          <t>GÖTENE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45894</v>
      </c>
      <c r="E71" s="1" t="n">
        <v>46224</v>
      </c>
      <c r="F71" t="inlineStr">
        <is>
          <t>VÄSTRA GÖTALANDS LÄN</t>
        </is>
      </c>
      <c r="G71" t="inlineStr">
        <is>
          <t>GÖTENE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46224</v>
      </c>
      <c r="F72" t="inlineStr">
        <is>
          <t>VÄSTRA GÖTALANDS LÄN</t>
        </is>
      </c>
      <c r="G72" t="inlineStr">
        <is>
          <t>GÖTENE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46224</v>
      </c>
      <c r="F73" t="inlineStr">
        <is>
          <t>VÄSTRA GÖTALANDS LÄN</t>
        </is>
      </c>
      <c r="G73" t="inlineStr">
        <is>
          <t>GÖTENE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31917-2022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44777</v>
      </c>
      <c r="E74" s="1" t="n">
        <v>46224</v>
      </c>
      <c r="F74" t="inlineStr">
        <is>
          <t>VÄSTRA GÖTALANDS LÄN</t>
        </is>
      </c>
      <c r="G74" t="inlineStr">
        <is>
          <t>GÖTENE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45376</v>
      </c>
      <c r="E75" s="1" t="n">
        <v>46224</v>
      </c>
      <c r="F75" t="inlineStr">
        <is>
          <t>VÄSTRA GÖTALANDS LÄN</t>
        </is>
      </c>
      <c r="G75" t="inlineStr">
        <is>
          <t>GÖTENE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26105-2025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45805</v>
      </c>
      <c r="E76" s="1" t="n">
        <v>46224</v>
      </c>
      <c r="F76" t="inlineStr">
        <is>
          <t>VÄSTRA GÖTALANDS LÄN</t>
        </is>
      </c>
      <c r="G76" t="inlineStr">
        <is>
          <t>GÖTENE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45373</v>
      </c>
      <c r="E77" s="1" t="n">
        <v>46224</v>
      </c>
      <c r="F77" t="inlineStr">
        <is>
          <t>VÄSTRA GÖTALANDS LÄN</t>
        </is>
      </c>
      <c r="G77" t="inlineStr">
        <is>
          <t>GÖTENE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45373</v>
      </c>
      <c r="E78" s="1" t="n">
        <v>46224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10703-2025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45722</v>
      </c>
      <c r="E79" s="1" t="n">
        <v>46224</v>
      </c>
      <c r="F79" t="inlineStr">
        <is>
          <t>VÄSTRA GÖTALANDS LÄN</t>
        </is>
      </c>
      <c r="G79" t="inlineStr">
        <is>
          <t>GÖTENE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46224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Övriga Aktiebolag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45007-2025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46224</v>
      </c>
      <c r="F81" t="inlineStr">
        <is>
          <t>VÄSTRA GÖTALANDS LÄN</t>
        </is>
      </c>
      <c r="G81" t="inlineStr">
        <is>
          <t>GÖTENE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46224</v>
      </c>
      <c r="F82" t="inlineStr">
        <is>
          <t>VÄSTRA GÖTALANDS LÄN</t>
        </is>
      </c>
      <c r="G82" t="inlineStr">
        <is>
          <t>GÖTENE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61021-2022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44914</v>
      </c>
      <c r="E83" s="1" t="n">
        <v>46224</v>
      </c>
      <c r="F83" t="inlineStr">
        <is>
          <t>VÄSTRA GÖTALANDS LÄN</t>
        </is>
      </c>
      <c r="G83" t="inlineStr">
        <is>
          <t>GÖTENE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46224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46224</v>
      </c>
      <c r="F85" t="inlineStr">
        <is>
          <t>VÄSTRA GÖTALANDS LÄN</t>
        </is>
      </c>
      <c r="G85" t="inlineStr">
        <is>
          <t>GÖTENE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46224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46224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46224</v>
      </c>
      <c r="F88" t="inlineStr">
        <is>
          <t>VÄSTRA GÖTALANDS LÄN</t>
        </is>
      </c>
      <c r="G88" t="inlineStr">
        <is>
          <t>GÖTENE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46224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46224</v>
      </c>
      <c r="F90" t="inlineStr">
        <is>
          <t>VÄSTRA GÖTALANDS LÄN</t>
        </is>
      </c>
      <c r="G90" t="inlineStr">
        <is>
          <t>GÖTENE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46224</v>
      </c>
      <c r="F91" t="inlineStr">
        <is>
          <t>VÄSTRA GÖTALANDS LÄN</t>
        </is>
      </c>
      <c r="G91" t="inlineStr">
        <is>
          <t>GÖTENE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46224</v>
      </c>
      <c r="F92" t="inlineStr">
        <is>
          <t>VÄSTRA GÖTALANDS LÄN</t>
        </is>
      </c>
      <c r="G92" t="inlineStr">
        <is>
          <t>GÖTENE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32967-2025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46224</v>
      </c>
      <c r="F93" t="inlineStr">
        <is>
          <t>VÄSTRA GÖTALANDS LÄN</t>
        </is>
      </c>
      <c r="G93" t="inlineStr">
        <is>
          <t>GÖTENE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46224</v>
      </c>
      <c r="F94" t="inlineStr">
        <is>
          <t>VÄSTRA GÖTALANDS LÄN</t>
        </is>
      </c>
      <c r="G94" t="inlineStr">
        <is>
          <t>GÖTENE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44967</v>
      </c>
      <c r="E95" s="1" t="n">
        <v>46224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Kyrkan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46224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46224</v>
      </c>
      <c r="F97" t="inlineStr">
        <is>
          <t>VÄSTRA GÖTALANDS LÄN</t>
        </is>
      </c>
      <c r="G97" t="inlineStr">
        <is>
          <t>GÖTENE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46224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45034</v>
      </c>
      <c r="E99" s="1" t="n">
        <v>46224</v>
      </c>
      <c r="F99" t="inlineStr">
        <is>
          <t>VÄSTRA GÖTALANDS LÄN</t>
        </is>
      </c>
      <c r="G99" t="inlineStr">
        <is>
          <t>GÖTENE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46029</v>
      </c>
      <c r="E100" s="1" t="n">
        <v>46224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45667</v>
      </c>
      <c r="E101" s="1" t="n">
        <v>46224</v>
      </c>
      <c r="F101" t="inlineStr">
        <is>
          <t>VÄSTRA GÖTALANDS LÄN</t>
        </is>
      </c>
      <c r="G101" t="inlineStr">
        <is>
          <t>GÖTENE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46224</v>
      </c>
      <c r="F102" t="inlineStr">
        <is>
          <t>VÄSTRA GÖTALANDS LÄN</t>
        </is>
      </c>
      <c r="G102" t="inlineStr">
        <is>
          <t>GÖTENE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46224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46224</v>
      </c>
      <c r="F104" t="inlineStr">
        <is>
          <t>VÄSTRA GÖTALANDS LÄN</t>
        </is>
      </c>
      <c r="G104" t="inlineStr">
        <is>
          <t>GÖTENE</t>
        </is>
      </c>
      <c r="I104" t="n">
        <v>14.7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46224</v>
      </c>
      <c r="F105" t="inlineStr">
        <is>
          <t>VÄSTRA GÖTALANDS LÄN</t>
        </is>
      </c>
      <c r="G105" t="inlineStr">
        <is>
          <t>GÖTENE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46224</v>
      </c>
      <c r="F106" t="inlineStr">
        <is>
          <t>VÄSTRA GÖTALANDS LÄN</t>
        </is>
      </c>
      <c r="G106" t="inlineStr">
        <is>
          <t>GÖTENE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44645</v>
      </c>
      <c r="E107" s="1" t="n">
        <v>46224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44645</v>
      </c>
      <c r="E108" s="1" t="n">
        <v>46224</v>
      </c>
      <c r="F108" t="inlineStr">
        <is>
          <t>VÄSTRA GÖTALANDS LÄN</t>
        </is>
      </c>
      <c r="G108" t="inlineStr">
        <is>
          <t>GÖTENE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46224</v>
      </c>
      <c r="F109" t="inlineStr">
        <is>
          <t>VÄSTRA GÖTALANDS LÄN</t>
        </is>
      </c>
      <c r="G109" t="inlineStr">
        <is>
          <t>GÖTENE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46224</v>
      </c>
      <c r="F110" t="inlineStr">
        <is>
          <t>VÄSTRA GÖTALANDS LÄN</t>
        </is>
      </c>
      <c r="G110" t="inlineStr">
        <is>
          <t>GÖTENE</t>
        </is>
      </c>
      <c r="I110" t="n">
        <v>10.9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46224</v>
      </c>
      <c r="F111" t="inlineStr">
        <is>
          <t>VÄSTRA GÖTALANDS LÄN</t>
        </is>
      </c>
      <c r="G111" t="inlineStr">
        <is>
          <t>GÖTENE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46224</v>
      </c>
      <c r="F112" t="inlineStr">
        <is>
          <t>VÄSTRA GÖTALANDS LÄN</t>
        </is>
      </c>
      <c r="G112" t="inlineStr">
        <is>
          <t>GÖTENE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46224</v>
      </c>
      <c r="F113" t="inlineStr">
        <is>
          <t>VÄSTRA GÖTALANDS LÄN</t>
        </is>
      </c>
      <c r="G113" t="inlineStr">
        <is>
          <t>GÖTENE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46224</v>
      </c>
      <c r="F114" t="inlineStr">
        <is>
          <t>VÄSTRA GÖTALANDS LÄN</t>
        </is>
      </c>
      <c r="G114" t="inlineStr">
        <is>
          <t>GÖTENE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46224</v>
      </c>
      <c r="F115" t="inlineStr">
        <is>
          <t>VÄSTRA GÖTALANDS LÄN</t>
        </is>
      </c>
      <c r="G115" t="inlineStr">
        <is>
          <t>GÖTENE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46224</v>
      </c>
      <c r="F116" t="inlineStr">
        <is>
          <t>VÄSTRA GÖTALANDS LÄN</t>
        </is>
      </c>
      <c r="G116" t="inlineStr">
        <is>
          <t>GÖTENE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46224</v>
      </c>
      <c r="F117" t="inlineStr">
        <is>
          <t>VÄSTRA GÖTALANDS LÄN</t>
        </is>
      </c>
      <c r="G117" t="inlineStr">
        <is>
          <t>GÖTENE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46224</v>
      </c>
      <c r="F118" t="inlineStr">
        <is>
          <t>VÄSTRA GÖTALANDS LÄN</t>
        </is>
      </c>
      <c r="G118" t="inlineStr">
        <is>
          <t>GÖTENE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45361</v>
      </c>
      <c r="E119" s="1" t="n">
        <v>46224</v>
      </c>
      <c r="F119" t="inlineStr">
        <is>
          <t>VÄSTRA GÖTALANDS LÄN</t>
        </is>
      </c>
      <c r="G119" t="inlineStr">
        <is>
          <t>GÖTENE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46224</v>
      </c>
      <c r="F120" t="inlineStr">
        <is>
          <t>VÄSTRA GÖTALANDS LÄN</t>
        </is>
      </c>
      <c r="G120" t="inlineStr">
        <is>
          <t>GÖTENE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46224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46224</v>
      </c>
      <c r="F122" t="inlineStr">
        <is>
          <t>VÄSTRA GÖTALANDS LÄN</t>
        </is>
      </c>
      <c r="G122" t="inlineStr">
        <is>
          <t>GÖTENE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46224</v>
      </c>
      <c r="F123" t="inlineStr">
        <is>
          <t>VÄSTRA GÖTALANDS LÄN</t>
        </is>
      </c>
      <c r="G123" t="inlineStr">
        <is>
          <t>GÖTENE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46224</v>
      </c>
      <c r="F124" t="inlineStr">
        <is>
          <t>VÄSTRA GÖTALANDS LÄN</t>
        </is>
      </c>
      <c r="G124" t="inlineStr">
        <is>
          <t>GÖTENE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46224</v>
      </c>
      <c r="F125" t="inlineStr">
        <is>
          <t>VÄSTRA GÖTALANDS LÄN</t>
        </is>
      </c>
      <c r="G125" t="inlineStr">
        <is>
          <t>GÖTENE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45386</v>
      </c>
      <c r="E126" s="1" t="n">
        <v>46224</v>
      </c>
      <c r="F126" t="inlineStr">
        <is>
          <t>VÄSTRA GÖTALANDS LÄN</t>
        </is>
      </c>
      <c r="G126" t="inlineStr">
        <is>
          <t>GÖTENE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46044</v>
      </c>
      <c r="E127" s="1" t="n">
        <v>46224</v>
      </c>
      <c r="F127" t="inlineStr">
        <is>
          <t>VÄSTRA GÖTALANDS LÄN</t>
        </is>
      </c>
      <c r="G127" t="inlineStr">
        <is>
          <t>GÖTENE</t>
        </is>
      </c>
      <c r="H127" t="inlineStr">
        <is>
          <t>Övriga Aktiebolag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45366</v>
      </c>
      <c r="E128" s="1" t="n">
        <v>46224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46224</v>
      </c>
      <c r="F129" t="inlineStr">
        <is>
          <t>VÄSTRA GÖTALANDS LÄN</t>
        </is>
      </c>
      <c r="G129" t="inlineStr">
        <is>
          <t>GÖTENE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46224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44405</v>
      </c>
      <c r="E131" s="1" t="n">
        <v>46224</v>
      </c>
      <c r="F131" t="inlineStr">
        <is>
          <t>VÄSTRA GÖTALANDS LÄN</t>
        </is>
      </c>
      <c r="G131" t="inlineStr">
        <is>
          <t>GÖTENE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12660-2023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45000</v>
      </c>
      <c r="E132" s="1" t="n">
        <v>46224</v>
      </c>
      <c r="F132" t="inlineStr">
        <is>
          <t>VÄSTRA GÖTALANDS LÄN</t>
        </is>
      </c>
      <c r="G132" t="inlineStr">
        <is>
          <t>GÖTENE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46224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46224</v>
      </c>
      <c r="F134" t="inlineStr">
        <is>
          <t>VÄSTRA GÖTALANDS LÄN</t>
        </is>
      </c>
      <c r="G134" t="inlineStr">
        <is>
          <t>GÖTENE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46224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44931</v>
      </c>
      <c r="E136" s="1" t="n">
        <v>46224</v>
      </c>
      <c r="F136" t="inlineStr">
        <is>
          <t>VÄSTRA GÖTALANDS LÄN</t>
        </is>
      </c>
      <c r="G136" t="inlineStr">
        <is>
          <t>GÖTENE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46224</v>
      </c>
      <c r="F137" t="inlineStr">
        <is>
          <t>VÄSTRA GÖTALANDS LÄN</t>
        </is>
      </c>
      <c r="G137" t="inlineStr">
        <is>
          <t>GÖTENE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46224</v>
      </c>
      <c r="F138" t="inlineStr">
        <is>
          <t>VÄSTRA GÖTALANDS LÄN</t>
        </is>
      </c>
      <c r="G138" t="inlineStr">
        <is>
          <t>GÖTENE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46224</v>
      </c>
      <c r="F139" t="inlineStr">
        <is>
          <t>VÄSTRA GÖTALANDS LÄN</t>
        </is>
      </c>
      <c r="G139" t="inlineStr">
        <is>
          <t>GÖTENE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10628-2026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46224</v>
      </c>
      <c r="F140" t="inlineStr">
        <is>
          <t>VÄSTRA GÖTALANDS LÄN</t>
        </is>
      </c>
      <c r="G140" t="inlineStr">
        <is>
          <t>GÖTENE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46224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45623</v>
      </c>
      <c r="E142" s="1" t="n">
        <v>46224</v>
      </c>
      <c r="F142" t="inlineStr">
        <is>
          <t>VÄSTRA GÖTALANDS LÄN</t>
        </is>
      </c>
      <c r="G142" t="inlineStr">
        <is>
          <t>GÖTENE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46224</v>
      </c>
      <c r="F143" t="inlineStr">
        <is>
          <t>VÄSTRA GÖTALANDS LÄN</t>
        </is>
      </c>
      <c r="G143" t="inlineStr">
        <is>
          <t>GÖTENE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46224</v>
      </c>
      <c r="F144" t="inlineStr">
        <is>
          <t>VÄSTRA GÖTALANDS LÄN</t>
        </is>
      </c>
      <c r="G144" t="inlineStr">
        <is>
          <t>GÖTENE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46224</v>
      </c>
      <c r="F145" t="inlineStr">
        <is>
          <t>VÄSTRA GÖTALANDS LÄN</t>
        </is>
      </c>
      <c r="G145" t="inlineStr">
        <is>
          <t>GÖTENE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46224</v>
      </c>
      <c r="F146" t="inlineStr">
        <is>
          <t>VÄSTRA GÖTALANDS LÄN</t>
        </is>
      </c>
      <c r="G146" t="inlineStr">
        <is>
          <t>GÖTENE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45051</v>
      </c>
      <c r="E147" s="1" t="n">
        <v>46224</v>
      </c>
      <c r="F147" t="inlineStr">
        <is>
          <t>VÄSTRA GÖTALANDS LÄN</t>
        </is>
      </c>
      <c r="G147" t="inlineStr">
        <is>
          <t>GÖTENE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46083</v>
      </c>
      <c r="E148" s="1" t="n">
        <v>46224</v>
      </c>
      <c r="F148" t="inlineStr">
        <is>
          <t>VÄSTRA GÖTALANDS LÄN</t>
        </is>
      </c>
      <c r="G148" t="inlineStr">
        <is>
          <t>GÖTENE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45051</v>
      </c>
      <c r="E149" s="1" t="n">
        <v>46224</v>
      </c>
      <c r="F149" t="inlineStr">
        <is>
          <t>VÄSTRA GÖTALANDS LÄN</t>
        </is>
      </c>
      <c r="G149" t="inlineStr">
        <is>
          <t>GÖTENE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46083</v>
      </c>
      <c r="E150" s="1" t="n">
        <v>46224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46224</v>
      </c>
      <c r="F151" t="inlineStr">
        <is>
          <t>VÄSTRA GÖTALANDS LÄN</t>
        </is>
      </c>
      <c r="G151" t="inlineStr">
        <is>
          <t>GÖTENE</t>
        </is>
      </c>
      <c r="H151" t="inlineStr">
        <is>
          <t>Övriga Aktiebolag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46224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45224</v>
      </c>
      <c r="E153" s="1" t="n">
        <v>46224</v>
      </c>
      <c r="F153" t="inlineStr">
        <is>
          <t>VÄSTRA GÖTALANDS LÄN</t>
        </is>
      </c>
      <c r="G153" t="inlineStr">
        <is>
          <t>GÖTENE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44924</v>
      </c>
      <c r="E154" s="1" t="n">
        <v>46224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45758</v>
      </c>
      <c r="E155" s="1" t="n">
        <v>46224</v>
      </c>
      <c r="F155" t="inlineStr">
        <is>
          <t>VÄSTRA GÖTALANDS LÄN</t>
        </is>
      </c>
      <c r="G155" t="inlineStr">
        <is>
          <t>GÖTENE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46224</v>
      </c>
      <c r="F156" t="inlineStr">
        <is>
          <t>VÄSTRA GÖTALANDS LÄN</t>
        </is>
      </c>
      <c r="G156" t="inlineStr">
        <is>
          <t>GÖTENE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17789-2026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46122</v>
      </c>
      <c r="E157" s="1" t="n">
        <v>46224</v>
      </c>
      <c r="F157" t="inlineStr">
        <is>
          <t>VÄSTRA GÖTALANDS LÄN</t>
        </is>
      </c>
      <c r="G157" t="inlineStr">
        <is>
          <t>GÖTENE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62390-2023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45268</v>
      </c>
      <c r="E158" s="1" t="n">
        <v>46224</v>
      </c>
      <c r="F158" t="inlineStr">
        <is>
          <t>VÄSTRA GÖTALANDS LÄN</t>
        </is>
      </c>
      <c r="G158" t="inlineStr">
        <is>
          <t>GÖTENE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46224</v>
      </c>
      <c r="F159" t="inlineStr">
        <is>
          <t>VÄSTRA GÖTALANDS LÄN</t>
        </is>
      </c>
      <c r="G159" t="inlineStr">
        <is>
          <t>GÖTENE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62499-2022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46224</v>
      </c>
      <c r="F160" t="inlineStr">
        <is>
          <t>VÄSTRA GÖTALANDS LÄN</t>
        </is>
      </c>
      <c r="G160" t="inlineStr">
        <is>
          <t>GÖTENE</t>
        </is>
      </c>
      <c r="H160" t="inlineStr">
        <is>
          <t>Övriga Aktiebolag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44628</v>
      </c>
      <c r="E161" s="1" t="n">
        <v>46224</v>
      </c>
      <c r="F161" t="inlineStr">
        <is>
          <t>VÄSTRA GÖTALANDS LÄN</t>
        </is>
      </c>
      <c r="G161" t="inlineStr">
        <is>
          <t>GÖTENE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46224</v>
      </c>
      <c r="F162" t="inlineStr">
        <is>
          <t>VÄSTRA GÖTALANDS LÄN</t>
        </is>
      </c>
      <c r="G162" t="inlineStr">
        <is>
          <t>GÖTENE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46224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46224</v>
      </c>
      <c r="F164" t="inlineStr">
        <is>
          <t>VÄSTRA GÖTALANDS LÄN</t>
        </is>
      </c>
      <c r="G164" t="inlineStr">
        <is>
          <t>GÖTENE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45918</v>
      </c>
      <c r="E165" s="1" t="n">
        <v>46224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46224</v>
      </c>
      <c r="F166" t="inlineStr">
        <is>
          <t>VÄSTRA GÖTALANDS LÄN</t>
        </is>
      </c>
      <c r="G166" t="inlineStr">
        <is>
          <t>GÖTENE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30174-2022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44757</v>
      </c>
      <c r="E167" s="1" t="n">
        <v>46224</v>
      </c>
      <c r="F167" t="inlineStr">
        <is>
          <t>VÄSTRA GÖTALANDS LÄN</t>
        </is>
      </c>
      <c r="G167" t="inlineStr">
        <is>
          <t>GÖTENE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45845</v>
      </c>
      <c r="E168" s="1" t="n">
        <v>46224</v>
      </c>
      <c r="F168" t="inlineStr">
        <is>
          <t>VÄSTRA GÖTALANDS LÄN</t>
        </is>
      </c>
      <c r="G168" t="inlineStr">
        <is>
          <t>GÖTENE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44638</v>
      </c>
      <c r="E169" s="1" t="n">
        <v>46224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44706</v>
      </c>
      <c r="E170" s="1" t="n">
        <v>46224</v>
      </c>
      <c r="F170" t="inlineStr">
        <is>
          <t>VÄSTRA GÖTALANDS LÄN</t>
        </is>
      </c>
      <c r="G170" t="inlineStr">
        <is>
          <t>GÖTENE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46224</v>
      </c>
      <c r="F171" t="inlineStr">
        <is>
          <t>VÄSTRA GÖTALANDS LÄN</t>
        </is>
      </c>
      <c r="G171" t="inlineStr">
        <is>
          <t>GÖTENE</t>
        </is>
      </c>
      <c r="I171" t="n">
        <v>19.7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46224</v>
      </c>
      <c r="F172" t="inlineStr">
        <is>
          <t>VÄSTRA GÖTALANDS LÄN</t>
        </is>
      </c>
      <c r="G172" t="inlineStr">
        <is>
          <t>GÖTENE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46224</v>
      </c>
      <c r="F173" t="inlineStr">
        <is>
          <t>VÄSTRA GÖTALANDS LÄN</t>
        </is>
      </c>
      <c r="G173" t="inlineStr">
        <is>
          <t>GÖTENE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25594-2025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45803</v>
      </c>
      <c r="E174" s="1" t="n">
        <v>46224</v>
      </c>
      <c r="F174" t="inlineStr">
        <is>
          <t>VÄSTRA GÖTALANDS LÄN</t>
        </is>
      </c>
      <c r="G174" t="inlineStr">
        <is>
          <t>GÖTENE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45210</v>
      </c>
      <c r="E175" s="1" t="n">
        <v>46224</v>
      </c>
      <c r="F175" t="inlineStr">
        <is>
          <t>VÄSTRA GÖTALANDS LÄN</t>
        </is>
      </c>
      <c r="G175" t="inlineStr">
        <is>
          <t>GÖTENE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46182</v>
      </c>
      <c r="E176" s="1" t="n">
        <v>46224</v>
      </c>
      <c r="F176" t="inlineStr">
        <is>
          <t>VÄSTRA GÖTALANDS LÄN</t>
        </is>
      </c>
      <c r="G176" t="inlineStr">
        <is>
          <t>GÖTENE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46224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46224</v>
      </c>
      <c r="F178" t="inlineStr">
        <is>
          <t>VÄSTRA GÖTALANDS LÄN</t>
        </is>
      </c>
      <c r="G178" t="inlineStr">
        <is>
          <t>GÖTENE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20811-2026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46224</v>
      </c>
      <c r="F179" t="inlineStr">
        <is>
          <t>VÄSTRA GÖTALANDS LÄN</t>
        </is>
      </c>
      <c r="G179" t="inlineStr">
        <is>
          <t>GÖTENE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46224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45119</v>
      </c>
      <c r="E181" s="1" t="n">
        <v>46224</v>
      </c>
      <c r="F181" t="inlineStr">
        <is>
          <t>VÄSTRA GÖTALANDS LÄN</t>
        </is>
      </c>
      <c r="G181" t="inlineStr">
        <is>
          <t>GÖTENE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45518</v>
      </c>
      <c r="E182" s="1" t="n">
        <v>46224</v>
      </c>
      <c r="F182" t="inlineStr">
        <is>
          <t>VÄSTRA GÖTALANDS LÄN</t>
        </is>
      </c>
      <c r="G182" t="inlineStr">
        <is>
          <t>GÖTENE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46224</v>
      </c>
      <c r="F183" t="inlineStr">
        <is>
          <t>VÄSTRA GÖTALANDS LÄN</t>
        </is>
      </c>
      <c r="G183" t="inlineStr">
        <is>
          <t>GÖTENE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46224</v>
      </c>
      <c r="F184" t="inlineStr">
        <is>
          <t>VÄSTRA GÖTALANDS LÄN</t>
        </is>
      </c>
      <c r="G184" t="inlineStr">
        <is>
          <t>GÖTENE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46224</v>
      </c>
      <c r="F185" t="inlineStr">
        <is>
          <t>VÄSTRA GÖTALANDS LÄN</t>
        </is>
      </c>
      <c r="G185" t="inlineStr">
        <is>
          <t>GÖTENE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36472-2023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45152</v>
      </c>
      <c r="E186" s="1" t="n">
        <v>46224</v>
      </c>
      <c r="F186" t="inlineStr">
        <is>
          <t>VÄSTRA GÖTALANDS LÄN</t>
        </is>
      </c>
      <c r="G186" t="inlineStr">
        <is>
          <t>GÖTENE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46147</v>
      </c>
      <c r="E187" s="1" t="n">
        <v>46224</v>
      </c>
      <c r="F187" t="inlineStr">
        <is>
          <t>VÄSTRA GÖTALANDS LÄN</t>
        </is>
      </c>
      <c r="G187" t="inlineStr">
        <is>
          <t>GÖTENE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46224</v>
      </c>
      <c r="F188" t="inlineStr">
        <is>
          <t>VÄSTRA GÖTALANDS LÄN</t>
        </is>
      </c>
      <c r="G188" t="inlineStr">
        <is>
          <t>GÖTENE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44970</v>
      </c>
      <c r="E189" s="1" t="n">
        <v>46224</v>
      </c>
      <c r="F189" t="inlineStr">
        <is>
          <t>VÄSTRA GÖTALANDS LÄN</t>
        </is>
      </c>
      <c r="G189" t="inlineStr">
        <is>
          <t>GÖTENE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46147</v>
      </c>
      <c r="E190" s="1" t="n">
        <v>46224</v>
      </c>
      <c r="F190" t="inlineStr">
        <is>
          <t>VÄSTRA GÖTALANDS LÄN</t>
        </is>
      </c>
      <c r="G190" t="inlineStr">
        <is>
          <t>GÖTENE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46224</v>
      </c>
      <c r="F191" t="inlineStr">
        <is>
          <t>VÄSTRA GÖTALANDS LÄN</t>
        </is>
      </c>
      <c r="G191" t="inlineStr">
        <is>
          <t>GÖTENE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46224</v>
      </c>
      <c r="F192" t="inlineStr">
        <is>
          <t>VÄSTRA GÖTALANDS LÄN</t>
        </is>
      </c>
      <c r="G192" t="inlineStr">
        <is>
          <t>GÖTENE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46224</v>
      </c>
      <c r="F193" t="inlineStr">
        <is>
          <t>VÄSTRA GÖTALANDS LÄN</t>
        </is>
      </c>
      <c r="G193" t="inlineStr">
        <is>
          <t>GÖTENE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45238</v>
      </c>
      <c r="E194" s="1" t="n">
        <v>46224</v>
      </c>
      <c r="F194" t="inlineStr">
        <is>
          <t>VÄSTRA GÖTALANDS LÄN</t>
        </is>
      </c>
      <c r="G194" t="inlineStr">
        <is>
          <t>GÖTENE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46224</v>
      </c>
      <c r="F195" t="inlineStr">
        <is>
          <t>VÄSTRA GÖTALANDS LÄN</t>
        </is>
      </c>
      <c r="G195" t="inlineStr">
        <is>
          <t>GÖTENE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46224</v>
      </c>
      <c r="F196" t="inlineStr">
        <is>
          <t>VÄSTRA GÖTALANDS LÄN</t>
        </is>
      </c>
      <c r="G196" t="inlineStr">
        <is>
          <t>GÖTENE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45210</v>
      </c>
      <c r="E197" s="1" t="n">
        <v>46224</v>
      </c>
      <c r="F197" t="inlineStr">
        <is>
          <t>VÄSTRA GÖTALANDS LÄN</t>
        </is>
      </c>
      <c r="G197" t="inlineStr">
        <is>
          <t>GÖTENE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46197</v>
      </c>
      <c r="E198" s="1" t="n">
        <v>46224</v>
      </c>
      <c r="F198" t="inlineStr">
        <is>
          <t>VÄSTRA GÖTALANDS LÄN</t>
        </is>
      </c>
      <c r="G198" t="inlineStr">
        <is>
          <t>GÖTENE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46224</v>
      </c>
      <c r="F199" t="inlineStr">
        <is>
          <t>VÄSTRA GÖTALANDS LÄN</t>
        </is>
      </c>
      <c r="G199" t="inlineStr">
        <is>
          <t>GÖTENE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46224</v>
      </c>
      <c r="F200" t="inlineStr">
        <is>
          <t>VÄSTRA GÖTALANDS LÄN</t>
        </is>
      </c>
      <c r="G200" t="inlineStr">
        <is>
          <t>GÖTENE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45386</v>
      </c>
      <c r="E201" s="1" t="n">
        <v>46224</v>
      </c>
      <c r="F201" t="inlineStr">
        <is>
          <t>VÄSTRA GÖTALANDS LÄN</t>
        </is>
      </c>
      <c r="G201" t="inlineStr">
        <is>
          <t>GÖTENE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46224</v>
      </c>
      <c r="F202" t="inlineStr">
        <is>
          <t>VÄSTRA GÖTALANDS LÄN</t>
        </is>
      </c>
      <c r="G202" t="inlineStr">
        <is>
          <t>GÖTENE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45152</v>
      </c>
      <c r="E203" s="1" t="n">
        <v>46224</v>
      </c>
      <c r="F203" t="inlineStr">
        <is>
          <t>VÄSTRA GÖTALANDS LÄN</t>
        </is>
      </c>
      <c r="G203" t="inlineStr">
        <is>
          <t>GÖTENE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46160</v>
      </c>
      <c r="E204" s="1" t="n">
        <v>46224</v>
      </c>
      <c r="F204" t="inlineStr">
        <is>
          <t>VÄSTRA GÖTALANDS LÄN</t>
        </is>
      </c>
      <c r="G204" t="inlineStr">
        <is>
          <t>GÖTENE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49536-2021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44455</v>
      </c>
      <c r="E205" s="1" t="n">
        <v>46224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Övriga Aktiebolag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46224</v>
      </c>
      <c r="F206" t="inlineStr">
        <is>
          <t>VÄSTRA GÖTALANDS LÄN</t>
        </is>
      </c>
      <c r="G206" t="inlineStr">
        <is>
          <t>GÖTENE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46224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46224</v>
      </c>
      <c r="F208" t="inlineStr">
        <is>
          <t>VÄSTRA GÖTALANDS LÄN</t>
        </is>
      </c>
      <c r="G208" t="inlineStr">
        <is>
          <t>GÖTENE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46224</v>
      </c>
      <c r="F209" t="inlineStr">
        <is>
          <t>VÄSTRA GÖTALANDS LÄN</t>
        </is>
      </c>
      <c r="G209" t="inlineStr">
        <is>
          <t>GÖTENE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45747</v>
      </c>
      <c r="E210" s="1" t="n">
        <v>46224</v>
      </c>
      <c r="F210" t="inlineStr">
        <is>
          <t>VÄSTRA GÖTALANDS LÄN</t>
        </is>
      </c>
      <c r="G210" t="inlineStr">
        <is>
          <t>GÖTENE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46224</v>
      </c>
      <c r="F211" t="inlineStr">
        <is>
          <t>VÄSTRA GÖTALANDS LÄN</t>
        </is>
      </c>
      <c r="G211" t="inlineStr">
        <is>
          <t>GÖTENE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45634</v>
      </c>
      <c r="E212" s="1" t="n">
        <v>46224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Kommuner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46224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46224</v>
      </c>
      <c r="F214" t="inlineStr">
        <is>
          <t>VÄSTRA GÖTALANDS LÄN</t>
        </is>
      </c>
      <c r="G214" t="inlineStr">
        <is>
          <t>GÖTENE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46224</v>
      </c>
      <c r="F215" t="inlineStr">
        <is>
          <t>VÄSTRA GÖTALANDS LÄN</t>
        </is>
      </c>
      <c r="G215" t="inlineStr">
        <is>
          <t>GÖTENE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46224</v>
      </c>
      <c r="F216" t="inlineStr">
        <is>
          <t>VÄSTRA GÖTALANDS LÄN</t>
        </is>
      </c>
      <c r="G216" t="inlineStr">
        <is>
          <t>GÖTENE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46224</v>
      </c>
      <c r="F217" t="inlineStr">
        <is>
          <t>VÄSTRA GÖTALANDS LÄN</t>
        </is>
      </c>
      <c r="G217" t="inlineStr">
        <is>
          <t>GÖTENE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46224</v>
      </c>
      <c r="F218" t="inlineStr">
        <is>
          <t>VÄSTRA GÖTALANDS LÄN</t>
        </is>
      </c>
      <c r="G218" t="inlineStr">
        <is>
          <t>GÖTENE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44931</v>
      </c>
      <c r="E219" s="1" t="n">
        <v>46224</v>
      </c>
      <c r="F219" t="inlineStr">
        <is>
          <t>VÄSTRA GÖTALANDS LÄN</t>
        </is>
      </c>
      <c r="G219" t="inlineStr">
        <is>
          <t>GÖTENE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46224</v>
      </c>
      <c r="F220" t="inlineStr">
        <is>
          <t>VÄSTRA GÖTALANDS LÄN</t>
        </is>
      </c>
      <c r="G220" t="inlineStr">
        <is>
          <t>GÖTENE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46219</v>
      </c>
      <c r="E221" s="1" t="n">
        <v>46224</v>
      </c>
      <c r="F221" t="inlineStr">
        <is>
          <t>VÄSTRA GÖTALANDS LÄN</t>
        </is>
      </c>
      <c r="G221" t="inlineStr">
        <is>
          <t>GÖTENE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46224</v>
      </c>
      <c r="F222" t="inlineStr">
        <is>
          <t>VÄSTRA GÖTALANDS LÄN</t>
        </is>
      </c>
      <c r="G222" t="inlineStr">
        <is>
          <t>GÖTENE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46219</v>
      </c>
      <c r="E223" s="1" t="n">
        <v>46224</v>
      </c>
      <c r="F223" t="inlineStr">
        <is>
          <t>VÄSTRA GÖTALANDS LÄN</t>
        </is>
      </c>
      <c r="G223" t="inlineStr">
        <is>
          <t>GÖTENE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72879-2021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44547</v>
      </c>
      <c r="E224" s="1" t="n">
        <v>46224</v>
      </c>
      <c r="F224" t="inlineStr">
        <is>
          <t>VÄSTRA GÖTALANDS LÄN</t>
        </is>
      </c>
      <c r="G224" t="inlineStr">
        <is>
          <t>GÖTENE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25777-2026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46178</v>
      </c>
      <c r="E225" s="1" t="n">
        <v>46224</v>
      </c>
      <c r="F225" t="inlineStr">
        <is>
          <t>VÄSTRA GÖTALANDS LÄN</t>
        </is>
      </c>
      <c r="G225" t="inlineStr">
        <is>
          <t>GÖTENE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46220</v>
      </c>
      <c r="E226" s="1" t="n">
        <v>46224</v>
      </c>
      <c r="F226" t="inlineStr">
        <is>
          <t>VÄSTRA GÖTALANDS LÄN</t>
        </is>
      </c>
      <c r="G226" t="inlineStr">
        <is>
          <t>GÖTENE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46224</v>
      </c>
      <c r="F227" t="inlineStr">
        <is>
          <t>VÄSTRA GÖTALANDS LÄN</t>
        </is>
      </c>
      <c r="G227" t="inlineStr">
        <is>
          <t>GÖTENE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45099</v>
      </c>
      <c r="E228" s="1" t="n">
        <v>46224</v>
      </c>
      <c r="F228" t="inlineStr">
        <is>
          <t>VÄSTRA GÖTALANDS LÄN</t>
        </is>
      </c>
      <c r="G228" t="inlineStr">
        <is>
          <t>GÖTENE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46224</v>
      </c>
      <c r="F229" t="inlineStr">
        <is>
          <t>VÄSTRA GÖTALANDS LÄN</t>
        </is>
      </c>
      <c r="G229" t="inlineStr">
        <is>
          <t>GÖTENE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46224</v>
      </c>
      <c r="F230" t="inlineStr">
        <is>
          <t>VÄSTRA GÖTALANDS LÄN</t>
        </is>
      </c>
      <c r="G230" t="inlineStr">
        <is>
          <t>GÖTENE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45440</v>
      </c>
      <c r="E231" s="1" t="n">
        <v>46224</v>
      </c>
      <c r="F231" t="inlineStr">
        <is>
          <t>VÄSTRA GÖTALANDS LÄN</t>
        </is>
      </c>
      <c r="G231" t="inlineStr">
        <is>
          <t>GÖTENE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46224</v>
      </c>
      <c r="F232" t="inlineStr">
        <is>
          <t>VÄSTRA GÖTALANDS LÄN</t>
        </is>
      </c>
      <c r="G232" t="inlineStr">
        <is>
          <t>GÖTENE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46224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46224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46224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2026-07-21T01:35:38Z</dcterms:created>
  <dcterms:modified xmlns:dcterms="http://purl.org/dc/terms/" xmlns:xsi="http://www.w3.org/2001/XMLSchema-instance" xsi:type="dcterms:W3CDTF">2026-07-21T01:35:38Z</dcterms:modified>
</cp:coreProperties>
</file>