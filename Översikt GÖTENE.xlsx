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46253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46253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46253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46253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46253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46253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46253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46253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46253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32909-2025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46253</v>
      </c>
      <c r="F16" t="inlineStr">
        <is>
          <t>VÄSTRA GÖTALANDS LÄN</t>
        </is>
      </c>
      <c r="G16" t="inlineStr">
        <is>
          <t>GÖTENE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HYPERLINK("https://klasma.github.io/Logging_1471/artfynd/A 32909-2025 artfynd.xlsx", "A 32909-2025")</f>
        <v/>
      </c>
      <c r="X16">
        <f>HYPERLINK("https://klasma.github.io/Logging_1471/kartor/A 32909-2025 karta.png", "A 32909-2025")</f>
        <v/>
      </c>
      <c r="Y16">
        <f>HYPERLINK("https://klasma.github.io/Logging_1471/kartor_geotiff/A 32909-2025 georefererad karta.tif", "A 32909-2025")</f>
        <v/>
      </c>
      <c r="AA16">
        <f>HYPERLINK("https://klasma.github.io/Logging_1471/klagomål/A 32909-2025 FSC-klagomål.docx", "A 32909-2025")</f>
        <v/>
      </c>
      <c r="AB16">
        <f>HYPERLINK("https://klasma.github.io/Logging_1471/klagomålsmail/A 32909-2025 FSC-klagomål mail.docx", "A 32909-2025")</f>
        <v/>
      </c>
      <c r="AC16">
        <f>HYPERLINK("https://klasma.github.io/Logging_1471/tillsyn/A 32909-2025 tillsynsbegäran.docx", "A 32909-2025")</f>
        <v/>
      </c>
      <c r="AD16">
        <f>HYPERLINK("https://klasma.github.io/Logging_1471/tillsynsmail/A 32909-2025 tillsynsbegäran mail.docx", "A 32909-2025")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46253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46253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46253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46253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1895-2026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46253</v>
      </c>
      <c r="F21" t="inlineStr">
        <is>
          <t>VÄSTRA GÖTALANDS LÄN</t>
        </is>
      </c>
      <c r="G21" t="inlineStr">
        <is>
          <t>GÖTENE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1895-2026 artfynd.xlsx", "A 1895-2026")</f>
        <v/>
      </c>
      <c r="X21">
        <f>HYPERLINK("https://klasma.github.io/Logging_1471/kartor/A 1895-2026 karta.png", "A 1895-2026")</f>
        <v/>
      </c>
      <c r="Y21">
        <f>HYPERLINK("https://klasma.github.io/Logging_1471/kartor_geotiff/A 1895-2026 georefererad karta.tif", "A 1895-2026")</f>
        <v/>
      </c>
      <c r="AA21">
        <f>HYPERLINK("https://klasma.github.io/Logging_1471/klagomål/A 1895-2026 FSC-klagomål.docx", "A 1895-2026")</f>
        <v/>
      </c>
      <c r="AB21">
        <f>HYPERLINK("https://klasma.github.io/Logging_1471/klagomålsmail/A 1895-2026 FSC-klagomål mail.docx", "A 1895-2026")</f>
        <v/>
      </c>
      <c r="AC21">
        <f>HYPERLINK("https://klasma.github.io/Logging_1471/tillsyn/A 1895-2026 tillsynsbegäran.docx", "A 1895-2026")</f>
        <v/>
      </c>
      <c r="AD21">
        <f>HYPERLINK("https://klasma.github.io/Logging_1471/tillsynsmail/A 1895-2026 tillsynsbegäran mail.docx", "A 1895-2026")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46253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46253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46253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45211-2022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46253</v>
      </c>
      <c r="F25" t="inlineStr">
        <is>
          <t>VÄSTRA GÖTALANDS LÄN</t>
        </is>
      </c>
      <c r="G25" t="inlineStr">
        <is>
          <t>GÖTENE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Kamjordstjärna</t>
        </is>
      </c>
      <c r="W25">
        <f>HYPERLINK("https://klasma.github.io/Logging_1471/artfynd/A 45211-2022 artfynd.xlsx", "A 45211-2022")</f>
        <v/>
      </c>
      <c r="X25">
        <f>HYPERLINK("https://klasma.github.io/Logging_1471/kartor/A 45211-2022 karta.png", "A 45211-2022")</f>
        <v/>
      </c>
      <c r="Y25">
        <f>HYPERLINK("https://klasma.github.io/Logging_1471/kartor_geotiff/A 45211-2022 georefererad karta.tif", "A 45211-2022")</f>
        <v/>
      </c>
      <c r="AA25">
        <f>HYPERLINK("https://klasma.github.io/Logging_1471/klagomål/A 45211-2022 FSC-klagomål.docx", "A 45211-2022")</f>
        <v/>
      </c>
      <c r="AB25">
        <f>HYPERLINK("https://klasma.github.io/Logging_1471/klagomålsmail/A 45211-2022 FSC-klagomål mail.docx", "A 45211-2022")</f>
        <v/>
      </c>
      <c r="AC25">
        <f>HYPERLINK("https://klasma.github.io/Logging_1471/tillsyn/A 45211-2022 tillsynsbegäran.docx", "A 45211-2022")</f>
        <v/>
      </c>
      <c r="AD25">
        <f>HYPERLINK("https://klasma.github.io/Logging_1471/tillsynsmail/A 45211-2022 tillsynsbegäran mail.docx", "A 45211-2022")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46253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46253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46253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46253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46253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46253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46253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46253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46253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46253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46253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46253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46253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46253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46253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46253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46253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46253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46253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46253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46253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46253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46253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46253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46253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46253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46253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46253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46253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46253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46253</v>
      </c>
      <c r="F56" t="inlineStr">
        <is>
          <t>VÄSTRA GÖTALANDS LÄN</t>
        </is>
      </c>
      <c r="G56" t="inlineStr">
        <is>
          <t>GÖTENE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44803</v>
      </c>
      <c r="E57" s="1" t="n">
        <v>46253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61148-2021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46253</v>
      </c>
      <c r="F58" t="inlineStr">
        <is>
          <t>VÄSTRA GÖTALANDS LÄN</t>
        </is>
      </c>
      <c r="G58" t="inlineStr">
        <is>
          <t>GÖTENE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46253</v>
      </c>
      <c r="F59" t="inlineStr">
        <is>
          <t>VÄSTRA GÖTALANDS LÄN</t>
        </is>
      </c>
      <c r="G59" t="inlineStr">
        <is>
          <t>GÖTENE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9607-2024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45361</v>
      </c>
      <c r="E60" s="1" t="n">
        <v>46253</v>
      </c>
      <c r="F60" t="inlineStr">
        <is>
          <t>VÄSTRA GÖTALANDS LÄN</t>
        </is>
      </c>
      <c r="G60" t="inlineStr">
        <is>
          <t>GÖTENE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45251</v>
      </c>
      <c r="E61" s="1" t="n">
        <v>46253</v>
      </c>
      <c r="F61" t="inlineStr">
        <is>
          <t>VÄSTRA GÖTALANDS LÄN</t>
        </is>
      </c>
      <c r="G61" t="inlineStr">
        <is>
          <t>GÖTENE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46253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Sveaskog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46253</v>
      </c>
      <c r="F63" t="inlineStr">
        <is>
          <t>VÄSTRA GÖTALANDS LÄN</t>
        </is>
      </c>
      <c r="G63" t="inlineStr">
        <is>
          <t>GÖTENE</t>
        </is>
      </c>
      <c r="H63" t="inlineStr">
        <is>
          <t>Övriga Aktiebolag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45224</v>
      </c>
      <c r="E64" s="1" t="n">
        <v>46253</v>
      </c>
      <c r="F64" t="inlineStr">
        <is>
          <t>VÄSTRA GÖTALANDS LÄN</t>
        </is>
      </c>
      <c r="G64" t="inlineStr">
        <is>
          <t>GÖTENE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46253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46253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46253</v>
      </c>
      <c r="F67" t="inlineStr">
        <is>
          <t>VÄSTRA GÖTALANDS LÄN</t>
        </is>
      </c>
      <c r="G67" t="inlineStr">
        <is>
          <t>GÖTENE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46253</v>
      </c>
      <c r="F68" t="inlineStr">
        <is>
          <t>VÄSTRA GÖTALANDS LÄN</t>
        </is>
      </c>
      <c r="G68" t="inlineStr">
        <is>
          <t>GÖTENE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44931</v>
      </c>
      <c r="E69" s="1" t="n">
        <v>46253</v>
      </c>
      <c r="F69" t="inlineStr">
        <is>
          <t>VÄSTRA GÖTALANDS LÄN</t>
        </is>
      </c>
      <c r="G69" t="inlineStr">
        <is>
          <t>GÖTENE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72879-2021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46253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46253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46253</v>
      </c>
      <c r="F72" t="inlineStr">
        <is>
          <t>VÄSTRA GÖTALANDS LÄN</t>
        </is>
      </c>
      <c r="G72" t="inlineStr">
        <is>
          <t>GÖTENE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46253</v>
      </c>
      <c r="F73" t="inlineStr">
        <is>
          <t>VÄSTRA GÖTALANDS LÄN</t>
        </is>
      </c>
      <c r="G73" t="inlineStr">
        <is>
          <t>GÖTENE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46253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Övriga Aktiebolag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26105-2025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45805</v>
      </c>
      <c r="E75" s="1" t="n">
        <v>46253</v>
      </c>
      <c r="F75" t="inlineStr">
        <is>
          <t>VÄSTRA GÖTALANDS LÄN</t>
        </is>
      </c>
      <c r="G75" t="inlineStr">
        <is>
          <t>GÖTENE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10703-2025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46253</v>
      </c>
      <c r="F76" t="inlineStr">
        <is>
          <t>VÄSTRA GÖTALANDS LÄN</t>
        </is>
      </c>
      <c r="G76" t="inlineStr">
        <is>
          <t>GÖTENE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44587</v>
      </c>
      <c r="E77" s="1" t="n">
        <v>46253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46253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Övriga Aktiebolag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46253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Övriga Aktiebolag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46049</v>
      </c>
      <c r="E80" s="1" t="n">
        <v>46253</v>
      </c>
      <c r="F80" t="inlineStr">
        <is>
          <t>VÄSTRA GÖTALANDS LÄN</t>
        </is>
      </c>
      <c r="G80" t="inlineStr">
        <is>
          <t>GÖTENE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45634</v>
      </c>
      <c r="E81" s="1" t="n">
        <v>46253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46253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45180-2024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46253</v>
      </c>
      <c r="F83" t="inlineStr">
        <is>
          <t>VÄSTRA GÖTALANDS LÄN</t>
        </is>
      </c>
      <c r="G83" t="inlineStr">
        <is>
          <t>GÖTENE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46253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46253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49256-2023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46253</v>
      </c>
      <c r="F86" t="inlineStr">
        <is>
          <t>VÄSTRA GÖTALANDS LÄN</t>
        </is>
      </c>
      <c r="G86" t="inlineStr">
        <is>
          <t>GÖTENE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46253</v>
      </c>
      <c r="F87" t="inlineStr">
        <is>
          <t>VÄSTRA GÖTALANDS LÄN</t>
        </is>
      </c>
      <c r="G87" t="inlineStr">
        <is>
          <t>GÖTENE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46253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46253</v>
      </c>
      <c r="F89" t="inlineStr">
        <is>
          <t>VÄSTRA GÖTALANDS LÄN</t>
        </is>
      </c>
      <c r="G89" t="inlineStr">
        <is>
          <t>GÖTENE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46253</v>
      </c>
      <c r="F90" t="inlineStr">
        <is>
          <t>VÄSTRA GÖTALANDS LÄN</t>
        </is>
      </c>
      <c r="G90" t="inlineStr">
        <is>
          <t>GÖTENE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46253</v>
      </c>
      <c r="F91" t="inlineStr">
        <is>
          <t>VÄSTRA GÖTALANDS LÄN</t>
        </is>
      </c>
      <c r="G91" t="inlineStr">
        <is>
          <t>GÖTENE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46253</v>
      </c>
      <c r="F92" t="inlineStr">
        <is>
          <t>VÄSTRA GÖTALANDS LÄN</t>
        </is>
      </c>
      <c r="G92" t="inlineStr">
        <is>
          <t>GÖTENE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46083</v>
      </c>
      <c r="E93" s="1" t="n">
        <v>46253</v>
      </c>
      <c r="F93" t="inlineStr">
        <is>
          <t>VÄSTRA GÖTALANDS LÄN</t>
        </is>
      </c>
      <c r="G93" t="inlineStr">
        <is>
          <t>GÖTENE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45623</v>
      </c>
      <c r="E94" s="1" t="n">
        <v>46253</v>
      </c>
      <c r="F94" t="inlineStr">
        <is>
          <t>VÄSTRA GÖTALANDS LÄN</t>
        </is>
      </c>
      <c r="G94" t="inlineStr">
        <is>
          <t>GÖTENE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45624</v>
      </c>
      <c r="E95" s="1" t="n">
        <v>46253</v>
      </c>
      <c r="F95" t="inlineStr">
        <is>
          <t>VÄSTRA GÖTALANDS LÄN</t>
        </is>
      </c>
      <c r="G95" t="inlineStr">
        <is>
          <t>GÖTENE</t>
        </is>
      </c>
      <c r="I95" t="n">
        <v>19.7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44931</v>
      </c>
      <c r="E96" s="1" t="n">
        <v>46253</v>
      </c>
      <c r="F96" t="inlineStr">
        <is>
          <t>VÄSTRA GÖTALANDS LÄN</t>
        </is>
      </c>
      <c r="G96" t="inlineStr">
        <is>
          <t>GÖTENE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46083</v>
      </c>
      <c r="E97" s="1" t="n">
        <v>46253</v>
      </c>
      <c r="F97" t="inlineStr">
        <is>
          <t>VÄSTRA GÖTALANDS LÄN</t>
        </is>
      </c>
      <c r="G97" t="inlineStr">
        <is>
          <t>GÖTENE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11630-2026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46084</v>
      </c>
      <c r="E98" s="1" t="n">
        <v>46253</v>
      </c>
      <c r="F98" t="inlineStr">
        <is>
          <t>VÄSTRA GÖTALANDS LÄN</t>
        </is>
      </c>
      <c r="G98" t="inlineStr">
        <is>
          <t>GÖTENE</t>
        </is>
      </c>
      <c r="H98" t="inlineStr">
        <is>
          <t>Övriga Aktiebolag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32967-2025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46253</v>
      </c>
      <c r="F99" t="inlineStr">
        <is>
          <t>VÄSTRA GÖTALANDS LÄN</t>
        </is>
      </c>
      <c r="G99" t="inlineStr">
        <is>
          <t>GÖTENE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46253</v>
      </c>
      <c r="F100" t="inlineStr">
        <is>
          <t>VÄSTRA GÖTALANDS LÄN</t>
        </is>
      </c>
      <c r="G100" t="inlineStr">
        <is>
          <t>GÖTENE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46253</v>
      </c>
      <c r="F101" t="inlineStr">
        <is>
          <t>VÄSTRA GÖTALANDS LÄN</t>
        </is>
      </c>
      <c r="G101" t="inlineStr">
        <is>
          <t>GÖTENE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12660-2023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45000</v>
      </c>
      <c r="E102" s="1" t="n">
        <v>46253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45268</v>
      </c>
      <c r="E103" s="1" t="n">
        <v>46253</v>
      </c>
      <c r="F103" t="inlineStr">
        <is>
          <t>VÄSTRA GÖTALANDS LÄN</t>
        </is>
      </c>
      <c r="G103" t="inlineStr">
        <is>
          <t>GÖTENE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62402-2023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45268</v>
      </c>
      <c r="E104" s="1" t="n">
        <v>46253</v>
      </c>
      <c r="F104" t="inlineStr">
        <is>
          <t>VÄSTRA GÖTALANDS LÄN</t>
        </is>
      </c>
      <c r="G104" t="inlineStr">
        <is>
          <t>GÖTENE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46253</v>
      </c>
      <c r="F105" t="inlineStr">
        <is>
          <t>VÄSTRA GÖTALANDS LÄN</t>
        </is>
      </c>
      <c r="G105" t="inlineStr">
        <is>
          <t>GÖTENE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45373</v>
      </c>
      <c r="E106" s="1" t="n">
        <v>46253</v>
      </c>
      <c r="F106" t="inlineStr">
        <is>
          <t>VÄSTRA GÖTALANDS LÄN</t>
        </is>
      </c>
      <c r="G106" t="inlineStr">
        <is>
          <t>GÖTENE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46253</v>
      </c>
      <c r="F107" t="inlineStr">
        <is>
          <t>VÄSTRA GÖTALANDS LÄN</t>
        </is>
      </c>
      <c r="G107" t="inlineStr">
        <is>
          <t>GÖTENE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46253</v>
      </c>
      <c r="F108" t="inlineStr">
        <is>
          <t>VÄSTRA GÖTALANDS LÄN</t>
        </is>
      </c>
      <c r="G108" t="inlineStr">
        <is>
          <t>GÖTENE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46253</v>
      </c>
      <c r="F109" t="inlineStr">
        <is>
          <t>VÄSTRA GÖTALANDS LÄN</t>
        </is>
      </c>
      <c r="G109" t="inlineStr">
        <is>
          <t>GÖTENE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46253</v>
      </c>
      <c r="F110" t="inlineStr">
        <is>
          <t>VÄSTRA GÖTALANDS LÄN</t>
        </is>
      </c>
      <c r="G110" t="inlineStr">
        <is>
          <t>GÖTENE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46253</v>
      </c>
      <c r="F111" t="inlineStr">
        <is>
          <t>VÄSTRA GÖTALANDS LÄN</t>
        </is>
      </c>
      <c r="G111" t="inlineStr">
        <is>
          <t>GÖTENE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46253</v>
      </c>
      <c r="F112" t="inlineStr">
        <is>
          <t>VÄSTRA GÖTALANDS LÄN</t>
        </is>
      </c>
      <c r="G112" t="inlineStr">
        <is>
          <t>GÖTENE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44967</v>
      </c>
      <c r="E113" s="1" t="n">
        <v>46253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Kyrkan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45632</v>
      </c>
      <c r="E114" s="1" t="n">
        <v>46253</v>
      </c>
      <c r="F114" t="inlineStr">
        <is>
          <t>VÄSTRA GÖTALANDS LÄN</t>
        </is>
      </c>
      <c r="G114" t="inlineStr">
        <is>
          <t>GÖTENE</t>
        </is>
      </c>
      <c r="H114" t="inlineStr">
        <is>
          <t>Kyrkan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46253</v>
      </c>
      <c r="F115" t="inlineStr">
        <is>
          <t>VÄSTRA GÖTALANDS LÄN</t>
        </is>
      </c>
      <c r="G115" t="inlineStr">
        <is>
          <t>GÖTENE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46253</v>
      </c>
      <c r="F116" t="inlineStr">
        <is>
          <t>VÄSTRA GÖTALANDS LÄN</t>
        </is>
      </c>
      <c r="G116" t="inlineStr">
        <is>
          <t>GÖTENE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46253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18776-2026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46253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44924</v>
      </c>
      <c r="E119" s="1" t="n">
        <v>46253</v>
      </c>
      <c r="F119" t="inlineStr">
        <is>
          <t>VÄSTRA GÖTALANDS LÄN</t>
        </is>
      </c>
      <c r="G119" t="inlineStr">
        <is>
          <t>GÖTENE</t>
        </is>
      </c>
      <c r="H119" t="inlineStr">
        <is>
          <t>Övriga Aktiebolag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61021-2022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44914</v>
      </c>
      <c r="E120" s="1" t="n">
        <v>46253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44931</v>
      </c>
      <c r="E121" s="1" t="n">
        <v>46253</v>
      </c>
      <c r="F121" t="inlineStr">
        <is>
          <t>VÄSTRA GÖTALANDS LÄN</t>
        </is>
      </c>
      <c r="G121" t="inlineStr">
        <is>
          <t>GÖTENE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46253</v>
      </c>
      <c r="F122" t="inlineStr">
        <is>
          <t>VÄSTRA GÖTALANDS LÄN</t>
        </is>
      </c>
      <c r="G122" t="inlineStr">
        <is>
          <t>GÖTENE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46253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45119</v>
      </c>
      <c r="E124" s="1" t="n">
        <v>46253</v>
      </c>
      <c r="F124" t="inlineStr">
        <is>
          <t>VÄSTRA GÖTALANDS LÄN</t>
        </is>
      </c>
      <c r="G124" t="inlineStr">
        <is>
          <t>GÖTENE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46253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46253</v>
      </c>
      <c r="F126" t="inlineStr">
        <is>
          <t>VÄSTRA GÖTALANDS LÄN</t>
        </is>
      </c>
      <c r="G126" t="inlineStr">
        <is>
          <t>GÖTENE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46253</v>
      </c>
      <c r="F127" t="inlineStr">
        <is>
          <t>VÄSTRA GÖTALANDS LÄN</t>
        </is>
      </c>
      <c r="G127" t="inlineStr">
        <is>
          <t>GÖTENE</t>
        </is>
      </c>
      <c r="I127" t="n">
        <v>10.9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46253</v>
      </c>
      <c r="F128" t="inlineStr">
        <is>
          <t>VÄSTRA GÖTALANDS LÄN</t>
        </is>
      </c>
      <c r="G128" t="inlineStr">
        <is>
          <t>GÖTENE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46253</v>
      </c>
      <c r="F129" t="inlineStr">
        <is>
          <t>VÄSTRA GÖTALANDS LÄN</t>
        </is>
      </c>
      <c r="G129" t="inlineStr">
        <is>
          <t>GÖTENE</t>
        </is>
      </c>
      <c r="I129" t="n">
        <v>18.8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46253</v>
      </c>
      <c r="F130" t="inlineStr">
        <is>
          <t>VÄSTRA GÖTALANDS LÄN</t>
        </is>
      </c>
      <c r="G130" t="inlineStr">
        <is>
          <t>GÖTENE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46253</v>
      </c>
      <c r="F131" t="inlineStr">
        <is>
          <t>VÄSTRA GÖTALANDS LÄN</t>
        </is>
      </c>
      <c r="G131" t="inlineStr">
        <is>
          <t>GÖTENE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44757</v>
      </c>
      <c r="E132" s="1" t="n">
        <v>46253</v>
      </c>
      <c r="F132" t="inlineStr">
        <is>
          <t>VÄSTRA GÖTALANDS LÄN</t>
        </is>
      </c>
      <c r="G132" t="inlineStr">
        <is>
          <t>GÖTENE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46253</v>
      </c>
      <c r="F133" t="inlineStr">
        <is>
          <t>VÄSTRA GÖTALANDS LÄN</t>
        </is>
      </c>
      <c r="G133" t="inlineStr">
        <is>
          <t>GÖTENE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46253</v>
      </c>
      <c r="F134" t="inlineStr">
        <is>
          <t>VÄSTRA GÖTALANDS LÄN</t>
        </is>
      </c>
      <c r="G134" t="inlineStr">
        <is>
          <t>GÖTENE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46253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46253</v>
      </c>
      <c r="F136" t="inlineStr">
        <is>
          <t>VÄSTRA GÖTALANDS LÄN</t>
        </is>
      </c>
      <c r="G136" t="inlineStr">
        <is>
          <t>GÖTENE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46253</v>
      </c>
      <c r="F137" t="inlineStr">
        <is>
          <t>VÄSTRA GÖTALANDS LÄN</t>
        </is>
      </c>
      <c r="G137" t="inlineStr">
        <is>
          <t>GÖTENE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46253</v>
      </c>
      <c r="F138" t="inlineStr">
        <is>
          <t>VÄSTRA GÖTALANDS LÄN</t>
        </is>
      </c>
      <c r="G138" t="inlineStr">
        <is>
          <t>GÖTENE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46253</v>
      </c>
      <c r="F139" t="inlineStr">
        <is>
          <t>VÄSTRA GÖTALANDS LÄN</t>
        </is>
      </c>
      <c r="G139" t="inlineStr">
        <is>
          <t>GÖTENE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46253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46253</v>
      </c>
      <c r="F141" t="inlineStr">
        <is>
          <t>VÄSTRA GÖTALANDS LÄN</t>
        </is>
      </c>
      <c r="G141" t="inlineStr">
        <is>
          <t>GÖTENE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46253</v>
      </c>
      <c r="F142" t="inlineStr">
        <is>
          <t>VÄSTRA GÖTALANDS LÄN</t>
        </is>
      </c>
      <c r="G142" t="inlineStr">
        <is>
          <t>GÖTENE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46253</v>
      </c>
      <c r="F143" t="inlineStr">
        <is>
          <t>VÄSTRA GÖTALANDS LÄN</t>
        </is>
      </c>
      <c r="G143" t="inlineStr">
        <is>
          <t>GÖTENE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46253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Kyrkan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46253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46253</v>
      </c>
      <c r="F146" t="inlineStr">
        <is>
          <t>VÄSTRA GÖTALANDS LÄN</t>
        </is>
      </c>
      <c r="G146" t="inlineStr">
        <is>
          <t>GÖTENE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45995</v>
      </c>
      <c r="E147" s="1" t="n">
        <v>46253</v>
      </c>
      <c r="F147" t="inlineStr">
        <is>
          <t>VÄSTRA GÖTALANDS LÄN</t>
        </is>
      </c>
      <c r="G147" t="inlineStr">
        <is>
          <t>GÖTENE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45670</v>
      </c>
      <c r="E148" s="1" t="n">
        <v>46253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46253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46253</v>
      </c>
      <c r="F150" t="inlineStr">
        <is>
          <t>VÄSTRA GÖTALANDS LÄN</t>
        </is>
      </c>
      <c r="G150" t="inlineStr">
        <is>
          <t>GÖTENE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46253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46253</v>
      </c>
      <c r="F152" t="inlineStr">
        <is>
          <t>VÄSTRA GÖTALANDS LÄN</t>
        </is>
      </c>
      <c r="G152" t="inlineStr">
        <is>
          <t>GÖTENE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46253</v>
      </c>
      <c r="F153" t="inlineStr">
        <is>
          <t>VÄSTRA GÖTALANDS LÄN</t>
        </is>
      </c>
      <c r="G153" t="inlineStr">
        <is>
          <t>GÖTENE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25594-2025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45803</v>
      </c>
      <c r="E154" s="1" t="n">
        <v>46253</v>
      </c>
      <c r="F154" t="inlineStr">
        <is>
          <t>VÄSTRA GÖTALANDS LÄN</t>
        </is>
      </c>
      <c r="G154" t="inlineStr">
        <is>
          <t>GÖTENE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20811-2026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46253</v>
      </c>
      <c r="F155" t="inlineStr">
        <is>
          <t>VÄSTRA GÖTALANDS LÄN</t>
        </is>
      </c>
      <c r="G155" t="inlineStr">
        <is>
          <t>GÖTENE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46147</v>
      </c>
      <c r="E156" s="1" t="n">
        <v>46253</v>
      </c>
      <c r="F156" t="inlineStr">
        <is>
          <t>VÄSTRA GÖTALANDS LÄN</t>
        </is>
      </c>
      <c r="G156" t="inlineStr">
        <is>
          <t>GÖTENE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46147</v>
      </c>
      <c r="E157" s="1" t="n">
        <v>46253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46253</v>
      </c>
      <c r="F158" t="inlineStr">
        <is>
          <t>VÄSTRA GÖTALANDS LÄN</t>
        </is>
      </c>
      <c r="G158" t="inlineStr">
        <is>
          <t>GÖTENE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45667</v>
      </c>
      <c r="E159" s="1" t="n">
        <v>46253</v>
      </c>
      <c r="F159" t="inlineStr">
        <is>
          <t>VÄSTRA GÖTALANDS LÄN</t>
        </is>
      </c>
      <c r="G159" t="inlineStr">
        <is>
          <t>GÖTENE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46253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46253</v>
      </c>
      <c r="F161" t="inlineStr">
        <is>
          <t>VÄSTRA GÖTALANDS LÄN</t>
        </is>
      </c>
      <c r="G161" t="inlineStr">
        <is>
          <t>GÖTENE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46160</v>
      </c>
      <c r="E162" s="1" t="n">
        <v>46253</v>
      </c>
      <c r="F162" t="inlineStr">
        <is>
          <t>VÄSTRA GÖTALANDS LÄN</t>
        </is>
      </c>
      <c r="G162" t="inlineStr">
        <is>
          <t>GÖTENE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44608-2023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46253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46253</v>
      </c>
      <c r="F164" t="inlineStr">
        <is>
          <t>VÄSTRA GÖTALANDS LÄN</t>
        </is>
      </c>
      <c r="G164" t="inlineStr">
        <is>
          <t>GÖTENE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44645</v>
      </c>
      <c r="E165" s="1" t="n">
        <v>46253</v>
      </c>
      <c r="F165" t="inlineStr">
        <is>
          <t>VÄSTRA GÖTALANDS LÄN</t>
        </is>
      </c>
      <c r="G165" t="inlineStr">
        <is>
          <t>GÖTENE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46253</v>
      </c>
      <c r="F166" t="inlineStr">
        <is>
          <t>VÄSTRA GÖTALANDS LÄN</t>
        </is>
      </c>
      <c r="G166" t="inlineStr">
        <is>
          <t>GÖTENE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46253</v>
      </c>
      <c r="F167" t="inlineStr">
        <is>
          <t>VÄSTRA GÖTALANDS LÄN</t>
        </is>
      </c>
      <c r="G167" t="inlineStr">
        <is>
          <t>GÖTENE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44676</v>
      </c>
      <c r="E168" s="1" t="n">
        <v>46253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45051</v>
      </c>
      <c r="E169" s="1" t="n">
        <v>46253</v>
      </c>
      <c r="F169" t="inlineStr">
        <is>
          <t>VÄSTRA GÖTALANDS LÄN</t>
        </is>
      </c>
      <c r="G169" t="inlineStr">
        <is>
          <t>GÖTENE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44645</v>
      </c>
      <c r="E170" s="1" t="n">
        <v>46253</v>
      </c>
      <c r="F170" t="inlineStr">
        <is>
          <t>VÄSTRA GÖTALANDS LÄN</t>
        </is>
      </c>
      <c r="G170" t="inlineStr">
        <is>
          <t>GÖTENE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44706</v>
      </c>
      <c r="E171" s="1" t="n">
        <v>46253</v>
      </c>
      <c r="F171" t="inlineStr">
        <is>
          <t>VÄSTRA GÖTALANDS LÄN</t>
        </is>
      </c>
      <c r="G171" t="inlineStr">
        <is>
          <t>GÖTENE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45146</v>
      </c>
      <c r="E172" s="1" t="n">
        <v>46253</v>
      </c>
      <c r="F172" t="inlineStr">
        <is>
          <t>VÄSTRA GÖTALANDS LÄN</t>
        </is>
      </c>
      <c r="G172" t="inlineStr">
        <is>
          <t>GÖTENE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46220</v>
      </c>
      <c r="E173" s="1" t="n">
        <v>46253</v>
      </c>
      <c r="F173" t="inlineStr">
        <is>
          <t>VÄSTRA GÖTALANDS LÄN</t>
        </is>
      </c>
      <c r="G173" t="inlineStr">
        <is>
          <t>GÖTENE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46253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46253</v>
      </c>
      <c r="F175" t="inlineStr">
        <is>
          <t>VÄSTRA GÖTALANDS LÄN</t>
        </is>
      </c>
      <c r="G175" t="inlineStr">
        <is>
          <t>GÖTENE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46253</v>
      </c>
      <c r="F176" t="inlineStr">
        <is>
          <t>VÄSTRA GÖTALANDS LÄN</t>
        </is>
      </c>
      <c r="G176" t="inlineStr">
        <is>
          <t>GÖTENE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46253</v>
      </c>
      <c r="F177" t="inlineStr">
        <is>
          <t>VÄSTRA GÖTALANDS LÄN</t>
        </is>
      </c>
      <c r="G177" t="inlineStr">
        <is>
          <t>GÖTENE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25777-2026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46178</v>
      </c>
      <c r="E178" s="1" t="n">
        <v>46253</v>
      </c>
      <c r="F178" t="inlineStr">
        <is>
          <t>VÄSTRA GÖTALANDS LÄN</t>
        </is>
      </c>
      <c r="G178" t="inlineStr">
        <is>
          <t>GÖTENE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46182</v>
      </c>
      <c r="E179" s="1" t="n">
        <v>46253</v>
      </c>
      <c r="F179" t="inlineStr">
        <is>
          <t>VÄSTRA GÖTALANDS LÄN</t>
        </is>
      </c>
      <c r="G179" t="inlineStr">
        <is>
          <t>GÖTENE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46253</v>
      </c>
      <c r="F180" t="inlineStr">
        <is>
          <t>VÄSTRA GÖTALANDS LÄN</t>
        </is>
      </c>
      <c r="G180" t="inlineStr">
        <is>
          <t>GÖTENE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46182</v>
      </c>
      <c r="E181" s="1" t="n">
        <v>46253</v>
      </c>
      <c r="F181" t="inlineStr">
        <is>
          <t>VÄSTRA GÖTALANDS LÄN</t>
        </is>
      </c>
      <c r="G181" t="inlineStr">
        <is>
          <t>GÖTENE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46253</v>
      </c>
      <c r="F182" t="inlineStr">
        <is>
          <t>VÄSTRA GÖTALANDS LÄN</t>
        </is>
      </c>
      <c r="G182" t="inlineStr">
        <is>
          <t>GÖTENE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44777</v>
      </c>
      <c r="E183" s="1" t="n">
        <v>46253</v>
      </c>
      <c r="F183" t="inlineStr">
        <is>
          <t>VÄSTRA GÖTALANDS LÄN</t>
        </is>
      </c>
      <c r="G183" t="inlineStr">
        <is>
          <t>GÖTENE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46253</v>
      </c>
      <c r="F184" t="inlineStr">
        <is>
          <t>VÄSTRA GÖTALANDS LÄN</t>
        </is>
      </c>
      <c r="G184" t="inlineStr">
        <is>
          <t>GÖTENE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44638</v>
      </c>
      <c r="E185" s="1" t="n">
        <v>46253</v>
      </c>
      <c r="F185" t="inlineStr">
        <is>
          <t>VÄSTRA GÖTALANDS LÄN</t>
        </is>
      </c>
      <c r="G185" t="inlineStr">
        <is>
          <t>GÖTENE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46238</v>
      </c>
      <c r="E186" s="1" t="n">
        <v>46253</v>
      </c>
      <c r="F186" t="inlineStr">
        <is>
          <t>VÄSTRA GÖTALANDS LÄN</t>
        </is>
      </c>
      <c r="G186" t="inlineStr">
        <is>
          <t>GÖTENE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46253</v>
      </c>
      <c r="F187" t="inlineStr">
        <is>
          <t>VÄSTRA GÖTALANDS LÄN</t>
        </is>
      </c>
      <c r="G187" t="inlineStr">
        <is>
          <t>GÖTENE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46238</v>
      </c>
      <c r="E188" s="1" t="n">
        <v>46253</v>
      </c>
      <c r="F188" t="inlineStr">
        <is>
          <t>VÄSTRA GÖTALANDS LÄN</t>
        </is>
      </c>
      <c r="G188" t="inlineStr">
        <is>
          <t>GÖTENE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46237</v>
      </c>
      <c r="E189" s="1" t="n">
        <v>46253</v>
      </c>
      <c r="F189" t="inlineStr">
        <is>
          <t>VÄSTRA GÖTALANDS LÄN</t>
        </is>
      </c>
      <c r="G189" t="inlineStr">
        <is>
          <t>GÖTENE</t>
        </is>
      </c>
      <c r="H189" t="inlineStr">
        <is>
          <t>Övriga Aktiebolag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46253</v>
      </c>
      <c r="F190" t="inlineStr">
        <is>
          <t>VÄSTRA GÖTALANDS LÄN</t>
        </is>
      </c>
      <c r="G190" t="inlineStr">
        <is>
          <t>GÖTENE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46253</v>
      </c>
      <c r="F191" t="inlineStr">
        <is>
          <t>VÄSTRA GÖTALANDS LÄN</t>
        </is>
      </c>
      <c r="G191" t="inlineStr">
        <is>
          <t>GÖTENE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46253</v>
      </c>
      <c r="F192" t="inlineStr">
        <is>
          <t>VÄSTRA GÖTALANDS LÄN</t>
        </is>
      </c>
      <c r="G192" t="inlineStr">
        <is>
          <t>GÖTENE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44817</v>
      </c>
      <c r="E193" s="1" t="n">
        <v>46253</v>
      </c>
      <c r="F193" t="inlineStr">
        <is>
          <t>VÄSTRA GÖTALANDS LÄN</t>
        </is>
      </c>
      <c r="G193" t="inlineStr">
        <is>
          <t>GÖTENE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46253</v>
      </c>
      <c r="F194" t="inlineStr">
        <is>
          <t>VÄSTRA GÖTALANDS LÄN</t>
        </is>
      </c>
      <c r="G194" t="inlineStr">
        <is>
          <t>GÖTENE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46253</v>
      </c>
      <c r="F195" t="inlineStr">
        <is>
          <t>VÄSTRA GÖTALANDS LÄN</t>
        </is>
      </c>
      <c r="G195" t="inlineStr">
        <is>
          <t>GÖTENE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46253</v>
      </c>
      <c r="F196" t="inlineStr">
        <is>
          <t>VÄSTRA GÖTALANDS LÄN</t>
        </is>
      </c>
      <c r="G196" t="inlineStr">
        <is>
          <t>GÖTENE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46253</v>
      </c>
      <c r="F197" t="inlineStr">
        <is>
          <t>VÄSTRA GÖTALANDS LÄN</t>
        </is>
      </c>
      <c r="G197" t="inlineStr">
        <is>
          <t>GÖTENE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46253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Kommuner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46140</v>
      </c>
      <c r="E199" s="1" t="n">
        <v>46253</v>
      </c>
      <c r="F199" t="inlineStr">
        <is>
          <t>VÄSTRA GÖTALANDS LÄN</t>
        </is>
      </c>
      <c r="G199" t="inlineStr">
        <is>
          <t>GÖTENE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46253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Sveaskog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44817</v>
      </c>
      <c r="E201" s="1" t="n">
        <v>46253</v>
      </c>
      <c r="F201" t="inlineStr">
        <is>
          <t>VÄSTRA GÖTALANDS LÄN</t>
        </is>
      </c>
      <c r="G201" t="inlineStr">
        <is>
          <t>GÖTENE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46253</v>
      </c>
      <c r="F202" t="inlineStr">
        <is>
          <t>VÄSTRA GÖTALANDS LÄN</t>
        </is>
      </c>
      <c r="G202" t="inlineStr">
        <is>
          <t>GÖTENE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46051</v>
      </c>
      <c r="E203" s="1" t="n">
        <v>46253</v>
      </c>
      <c r="F203" t="inlineStr">
        <is>
          <t>VÄSTRA GÖTALANDS LÄN</t>
        </is>
      </c>
      <c r="G203" t="inlineStr">
        <is>
          <t>GÖTENE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46253</v>
      </c>
      <c r="F204" t="inlineStr">
        <is>
          <t>VÄSTRA GÖTALANDS LÄN</t>
        </is>
      </c>
      <c r="G204" t="inlineStr">
        <is>
          <t>GÖTENE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46253</v>
      </c>
      <c r="F205" t="inlineStr">
        <is>
          <t>VÄSTRA GÖTALANDS LÄN</t>
        </is>
      </c>
      <c r="G205" t="inlineStr">
        <is>
          <t>GÖTENE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46253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46253</v>
      </c>
      <c r="F207" t="inlineStr">
        <is>
          <t>VÄSTRA GÖTALANDS LÄN</t>
        </is>
      </c>
      <c r="G207" t="inlineStr">
        <is>
          <t>GÖTENE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46253</v>
      </c>
      <c r="F208" t="inlineStr">
        <is>
          <t>VÄSTRA GÖTALANDS LÄN</t>
        </is>
      </c>
      <c r="G208" t="inlineStr">
        <is>
          <t>GÖTENE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46253</v>
      </c>
      <c r="F209" t="inlineStr">
        <is>
          <t>VÄSTRA GÖTALANDS LÄN</t>
        </is>
      </c>
      <c r="G209" t="inlineStr">
        <is>
          <t>GÖTENE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45352</v>
      </c>
      <c r="E210" s="1" t="n">
        <v>46253</v>
      </c>
      <c r="F210" t="inlineStr">
        <is>
          <t>VÄSTRA GÖTALANDS LÄN</t>
        </is>
      </c>
      <c r="G210" t="inlineStr">
        <is>
          <t>GÖTENE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46253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45376</v>
      </c>
      <c r="E212" s="1" t="n">
        <v>46253</v>
      </c>
      <c r="F212" t="inlineStr">
        <is>
          <t>VÄSTRA GÖTALANDS LÄN</t>
        </is>
      </c>
      <c r="G212" t="inlineStr">
        <is>
          <t>GÖTENE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46253</v>
      </c>
      <c r="F213" t="inlineStr">
        <is>
          <t>VÄSTRA GÖTALANDS LÄN</t>
        </is>
      </c>
      <c r="G213" t="inlineStr">
        <is>
          <t>GÖTENE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46253</v>
      </c>
      <c r="F214" t="inlineStr">
        <is>
          <t>VÄSTRA GÖTALANDS LÄN</t>
        </is>
      </c>
      <c r="G214" t="inlineStr">
        <is>
          <t>GÖTENE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46253</v>
      </c>
      <c r="F215" t="inlineStr">
        <is>
          <t>VÄSTRA GÖTALANDS LÄN</t>
        </is>
      </c>
      <c r="G215" t="inlineStr">
        <is>
          <t>GÖTENE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46253</v>
      </c>
      <c r="F216" t="inlineStr">
        <is>
          <t>VÄSTRA GÖTALANDS LÄN</t>
        </is>
      </c>
      <c r="G216" t="inlineStr">
        <is>
          <t>GÖTENE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46253</v>
      </c>
      <c r="F217" t="inlineStr">
        <is>
          <t>VÄSTRA GÖTALANDS LÄN</t>
        </is>
      </c>
      <c r="G217" t="inlineStr">
        <is>
          <t>GÖTENE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46253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46253</v>
      </c>
      <c r="F219" t="inlineStr">
        <is>
          <t>VÄSTRA GÖTALANDS LÄN</t>
        </is>
      </c>
      <c r="G219" t="inlineStr">
        <is>
          <t>GÖTENE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46253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46253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46253</v>
      </c>
      <c r="F222" t="inlineStr">
        <is>
          <t>VÄSTRA GÖTALANDS LÄN</t>
        </is>
      </c>
      <c r="G222" t="inlineStr">
        <is>
          <t>GÖTENE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16341-2025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45751</v>
      </c>
      <c r="E223" s="1" t="n">
        <v>46253</v>
      </c>
      <c r="F223" t="inlineStr">
        <is>
          <t>VÄSTRA GÖTALANDS LÄN</t>
        </is>
      </c>
      <c r="G223" t="inlineStr">
        <is>
          <t>GÖTENE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46253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46253</v>
      </c>
      <c r="F225" t="inlineStr">
        <is>
          <t>VÄSTRA GÖTALANDS LÄN</t>
        </is>
      </c>
      <c r="G225" t="inlineStr">
        <is>
          <t>GÖTENE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6120-2022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44862</v>
      </c>
      <c r="E226" s="1" t="n">
        <v>46253</v>
      </c>
      <c r="F226" t="inlineStr">
        <is>
          <t>VÄSTRA GÖTALANDS LÄN</t>
        </is>
      </c>
      <c r="G226" t="inlineStr">
        <is>
          <t>GÖTENE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615-2024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46253</v>
      </c>
      <c r="F227" t="inlineStr">
        <is>
          <t>VÄSTRA GÖTALANDS LÄN</t>
        </is>
      </c>
      <c r="G227" t="inlineStr">
        <is>
          <t>GÖTENE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614-2024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46253</v>
      </c>
      <c r="F228" t="inlineStr">
        <is>
          <t>VÄSTRA GÖTALANDS LÄN</t>
        </is>
      </c>
      <c r="G228" t="inlineStr">
        <is>
          <t>GÖTENE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2026-08-19T01:48:32Z</dcterms:created>
  <dcterms:modified xmlns:dcterms="http://purl.org/dc/terms/" xmlns:xsi="http://www.w3.org/2001/XMLSchema-instance" xsi:type="dcterms:W3CDTF">2026-08-19T01:48:32Z</dcterms:modified>
</cp:coreProperties>
</file>