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46297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46297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46297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46297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46297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46297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46297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46297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46297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46297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28273-2023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46297</v>
      </c>
      <c r="F16" t="inlineStr">
        <is>
          <t>VÄSTRA GÖTALANDS LÄN</t>
        </is>
      </c>
      <c r="G16" t="inlineStr">
        <is>
          <t>GÖTENE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Åkergroda</t>
        </is>
      </c>
      <c r="W16">
        <f>HYPERLINK("https://klasma.github.io/Logging_1471/artfynd/A 28273-2023 artfynd.xlsx", "A 28273-2023")</f>
        <v/>
      </c>
      <c r="X16">
        <f>HYPERLINK("https://klasma.github.io/Logging_1471/kartor/A 28273-2023 karta.png", "A 28273-2023")</f>
        <v/>
      </c>
      <c r="Y16">
        <f>HYPERLINK("https://klasma.github.io/Logging_1471/kartor_geotiff/A 28273-2023 georefererad karta.tif", "A 28273-2023")</f>
        <v/>
      </c>
      <c r="AA16">
        <f>HYPERLINK("https://klasma.github.io/Logging_1471/klagomål/A 28273-2023 FSC-klagomål.docx", "A 28273-2023")</f>
        <v/>
      </c>
      <c r="AB16">
        <f>HYPERLINK("https://klasma.github.io/Logging_1471/klagomålsmail/A 28273-2023 FSC-klagomål mail.docx", "A 28273-2023")</f>
        <v/>
      </c>
      <c r="AC16">
        <f>HYPERLINK("https://klasma.github.io/Logging_1471/tillsyn/A 28273-2023 tillsynsbegäran.docx", "A 28273-2023")</f>
        <v/>
      </c>
      <c r="AD16">
        <f>HYPERLINK("https://klasma.github.io/Logging_1471/tillsynsmail/A 28273-2023 tillsynsbegäran mail.docx", "A 28273-2023")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46297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46297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46297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46297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32909-2025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45839</v>
      </c>
      <c r="E21" s="1" t="n">
        <v>46297</v>
      </c>
      <c r="F21" t="inlineStr">
        <is>
          <t>VÄSTRA GÖTALANDS LÄN</t>
        </is>
      </c>
      <c r="G21" t="inlineStr">
        <is>
          <t>GÖTENE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Jungfrulin</t>
        </is>
      </c>
      <c r="W21">
        <f>HYPERLINK("https://klasma.github.io/Logging_1471/artfynd/A 32909-2025 artfynd.xlsx", "A 32909-2025")</f>
        <v/>
      </c>
      <c r="X21">
        <f>HYPERLINK("https://klasma.github.io/Logging_1471/kartor/A 32909-2025 karta.png", "A 32909-2025")</f>
        <v/>
      </c>
      <c r="Y21">
        <f>HYPERLINK("https://klasma.github.io/Logging_1471/kartor_geotiff/A 32909-2025 georefererad karta.tif", "A 32909-2025")</f>
        <v/>
      </c>
      <c r="AA21">
        <f>HYPERLINK("https://klasma.github.io/Logging_1471/klagomål/A 32909-2025 FSC-klagomål.docx", "A 32909-2025")</f>
        <v/>
      </c>
      <c r="AB21">
        <f>HYPERLINK("https://klasma.github.io/Logging_1471/klagomålsmail/A 32909-2025 FSC-klagomål mail.docx", "A 32909-2025")</f>
        <v/>
      </c>
      <c r="AC21">
        <f>HYPERLINK("https://klasma.github.io/Logging_1471/tillsyn/A 32909-2025 tillsynsbegäran.docx", "A 32909-2025")</f>
        <v/>
      </c>
      <c r="AD21">
        <f>HYPERLINK("https://klasma.github.io/Logging_1471/tillsynsmail/A 32909-2025 tillsynsbegäran mail.docx", "A 32909-2025")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46297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46297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46297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45211-2022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46297</v>
      </c>
      <c r="F25" t="inlineStr">
        <is>
          <t>VÄSTRA GÖTALANDS LÄN</t>
        </is>
      </c>
      <c r="G25" t="inlineStr">
        <is>
          <t>GÖTENE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Kamjordstjärna</t>
        </is>
      </c>
      <c r="W25">
        <f>HYPERLINK("https://klasma.github.io/Logging_1471/artfynd/A 45211-2022 artfynd.xlsx", "A 45211-2022")</f>
        <v/>
      </c>
      <c r="X25">
        <f>HYPERLINK("https://klasma.github.io/Logging_1471/kartor/A 45211-2022 karta.png", "A 45211-2022")</f>
        <v/>
      </c>
      <c r="Y25">
        <f>HYPERLINK("https://klasma.github.io/Logging_1471/kartor_geotiff/A 45211-2022 georefererad karta.tif", "A 45211-2022")</f>
        <v/>
      </c>
      <c r="AA25">
        <f>HYPERLINK("https://klasma.github.io/Logging_1471/klagomål/A 45211-2022 FSC-klagomål.docx", "A 45211-2022")</f>
        <v/>
      </c>
      <c r="AB25">
        <f>HYPERLINK("https://klasma.github.io/Logging_1471/klagomålsmail/A 45211-2022 FSC-klagomål mail.docx", "A 45211-2022")</f>
        <v/>
      </c>
      <c r="AC25">
        <f>HYPERLINK("https://klasma.github.io/Logging_1471/tillsyn/A 45211-2022 tillsynsbegäran.docx", "A 45211-2022")</f>
        <v/>
      </c>
      <c r="AD25">
        <f>HYPERLINK("https://klasma.github.io/Logging_1471/tillsynsmail/A 45211-2022 tillsynsbegäran mail.docx", "A 45211-2022")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46297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46297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46297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46297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46297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46297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46297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46297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46297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46297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46297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46297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46297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46297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46297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46297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46297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46297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46297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46297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46297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46297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46297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46297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46297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46297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46297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46297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46297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46297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46297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46297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45361</v>
      </c>
      <c r="E58" s="1" t="n">
        <v>46297</v>
      </c>
      <c r="F58" t="inlineStr">
        <is>
          <t>VÄSTRA GÖTALANDS LÄN</t>
        </is>
      </c>
      <c r="G58" t="inlineStr">
        <is>
          <t>GÖTENE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46297</v>
      </c>
      <c r="F59" t="inlineStr">
        <is>
          <t>VÄSTRA GÖTALANDS LÄN</t>
        </is>
      </c>
      <c r="G59" t="inlineStr">
        <is>
          <t>GÖTENE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46297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46297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46297</v>
      </c>
      <c r="F62" t="inlineStr">
        <is>
          <t>VÄSTRA GÖTALANDS LÄN</t>
        </is>
      </c>
      <c r="G62" t="inlineStr">
        <is>
          <t>GÖTENE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45099</v>
      </c>
      <c r="E63" s="1" t="n">
        <v>46297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46297</v>
      </c>
      <c r="F64" t="inlineStr">
        <is>
          <t>VÄSTRA GÖTALANDS LÄN</t>
        </is>
      </c>
      <c r="G64" t="inlineStr">
        <is>
          <t>GÖTENE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16341-2025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45751</v>
      </c>
      <c r="E65" s="1" t="n">
        <v>46297</v>
      </c>
      <c r="F65" t="inlineStr">
        <is>
          <t>VÄSTRA GÖTALANDS LÄN</t>
        </is>
      </c>
      <c r="G65" t="inlineStr">
        <is>
          <t>GÖTENE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46297</v>
      </c>
      <c r="F66" t="inlineStr">
        <is>
          <t>VÄSTRA GÖTALANDS LÄN</t>
        </is>
      </c>
      <c r="G66" t="inlineStr">
        <is>
          <t>GÖTENE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46297</v>
      </c>
      <c r="F67" t="inlineStr">
        <is>
          <t>VÄSTRA GÖTALANDS LÄN</t>
        </is>
      </c>
      <c r="G67" t="inlineStr">
        <is>
          <t>GÖTENE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46297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Övriga Aktiebolag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45894</v>
      </c>
      <c r="E69" s="1" t="n">
        <v>46297</v>
      </c>
      <c r="F69" t="inlineStr">
        <is>
          <t>VÄSTRA GÖTALANDS LÄN</t>
        </is>
      </c>
      <c r="G69" t="inlineStr">
        <is>
          <t>GÖTENE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46049</v>
      </c>
      <c r="E70" s="1" t="n">
        <v>46297</v>
      </c>
      <c r="F70" t="inlineStr">
        <is>
          <t>VÄSTRA GÖTALANDS LÄN</t>
        </is>
      </c>
      <c r="G70" t="inlineStr">
        <is>
          <t>GÖTENE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46297</v>
      </c>
      <c r="F71" t="inlineStr">
        <is>
          <t>VÄSTRA GÖTALANDS LÄN</t>
        </is>
      </c>
      <c r="G71" t="inlineStr">
        <is>
          <t>GÖTENE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46297</v>
      </c>
      <c r="F72" t="inlineStr">
        <is>
          <t>VÄSTRA GÖTALANDS LÄN</t>
        </is>
      </c>
      <c r="G72" t="inlineStr">
        <is>
          <t>GÖTENE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72879-2021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44547</v>
      </c>
      <c r="E73" s="1" t="n">
        <v>46297</v>
      </c>
      <c r="F73" t="inlineStr">
        <is>
          <t>VÄSTRA GÖTALANDS LÄN</t>
        </is>
      </c>
      <c r="G73" t="inlineStr">
        <is>
          <t>GÖTENE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45007-2025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46297</v>
      </c>
      <c r="F74" t="inlineStr">
        <is>
          <t>VÄSTRA GÖTALANDS LÄN</t>
        </is>
      </c>
      <c r="G74" t="inlineStr">
        <is>
          <t>GÖTENE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46297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46297</v>
      </c>
      <c r="F76" t="inlineStr">
        <is>
          <t>VÄSTRA GÖTALANDS LÄN</t>
        </is>
      </c>
      <c r="G76" t="inlineStr">
        <is>
          <t>GÖTENE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46297</v>
      </c>
      <c r="F77" t="inlineStr">
        <is>
          <t>VÄSTRA GÖTALANDS LÄN</t>
        </is>
      </c>
      <c r="G77" t="inlineStr">
        <is>
          <t>GÖTENE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46297</v>
      </c>
      <c r="F78" t="inlineStr">
        <is>
          <t>VÄSTRA GÖTALANDS LÄN</t>
        </is>
      </c>
      <c r="G78" t="inlineStr">
        <is>
          <t>GÖTENE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46297</v>
      </c>
      <c r="F79" t="inlineStr">
        <is>
          <t>VÄSTRA GÖTALANDS LÄN</t>
        </is>
      </c>
      <c r="G79" t="inlineStr">
        <is>
          <t>GÖTENE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46297</v>
      </c>
      <c r="F80" t="inlineStr">
        <is>
          <t>VÄSTRA GÖTALANDS LÄN</t>
        </is>
      </c>
      <c r="G80" t="inlineStr">
        <is>
          <t>GÖTENE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46297</v>
      </c>
      <c r="F81" t="inlineStr">
        <is>
          <t>VÄSTRA GÖTALANDS LÄN</t>
        </is>
      </c>
      <c r="G81" t="inlineStr">
        <is>
          <t>GÖTENE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46297</v>
      </c>
      <c r="F82" t="inlineStr">
        <is>
          <t>VÄSTRA GÖTALANDS LÄN</t>
        </is>
      </c>
      <c r="G82" t="inlineStr">
        <is>
          <t>GÖTENE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46297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44587</v>
      </c>
      <c r="E84" s="1" t="n">
        <v>46297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11459-2026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46297</v>
      </c>
      <c r="F85" t="inlineStr">
        <is>
          <t>VÄSTRA GÖTALANDS LÄN</t>
        </is>
      </c>
      <c r="G85" t="inlineStr">
        <is>
          <t>GÖTENE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26105-2025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45805</v>
      </c>
      <c r="E86" s="1" t="n">
        <v>46297</v>
      </c>
      <c r="F86" t="inlineStr">
        <is>
          <t>VÄSTRA GÖTALANDS LÄN</t>
        </is>
      </c>
      <c r="G86" t="inlineStr">
        <is>
          <t>GÖTENE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46083</v>
      </c>
      <c r="E87" s="1" t="n">
        <v>46297</v>
      </c>
      <c r="F87" t="inlineStr">
        <is>
          <t>VÄSTRA GÖTALANDS LÄN</t>
        </is>
      </c>
      <c r="G87" t="inlineStr">
        <is>
          <t>GÖTENE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46084</v>
      </c>
      <c r="E88" s="1" t="n">
        <v>46297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Övriga Aktiebolag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45722</v>
      </c>
      <c r="E89" s="1" t="n">
        <v>46297</v>
      </c>
      <c r="F89" t="inlineStr">
        <is>
          <t>VÄSTRA GÖTALANDS LÄN</t>
        </is>
      </c>
      <c r="G89" t="inlineStr">
        <is>
          <t>GÖTENE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45634</v>
      </c>
      <c r="E90" s="1" t="n">
        <v>46297</v>
      </c>
      <c r="F90" t="inlineStr">
        <is>
          <t>VÄSTRA GÖTALANDS LÄN</t>
        </is>
      </c>
      <c r="G90" t="inlineStr">
        <is>
          <t>GÖTENE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46297</v>
      </c>
      <c r="F91" t="inlineStr">
        <is>
          <t>VÄSTRA GÖTALANDS LÄN</t>
        </is>
      </c>
      <c r="G91" t="inlineStr">
        <is>
          <t>GÖTENE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45575</v>
      </c>
      <c r="E92" s="1" t="n">
        <v>46297</v>
      </c>
      <c r="F92" t="inlineStr">
        <is>
          <t>VÄSTRA GÖTALANDS LÄN</t>
        </is>
      </c>
      <c r="G92" t="inlineStr">
        <is>
          <t>GÖTENE</t>
        </is>
      </c>
      <c r="I92" t="n">
        <v>14.7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46297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46297</v>
      </c>
      <c r="F94" t="inlineStr">
        <is>
          <t>VÄSTRA GÖTALANDS LÄN</t>
        </is>
      </c>
      <c r="G94" t="inlineStr">
        <is>
          <t>GÖTENE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45953</v>
      </c>
      <c r="E95" s="1" t="n">
        <v>46297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10596-2024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45366</v>
      </c>
      <c r="E96" s="1" t="n">
        <v>46297</v>
      </c>
      <c r="F96" t="inlineStr">
        <is>
          <t>VÄSTRA GÖTALANDS LÄN</t>
        </is>
      </c>
      <c r="G96" t="inlineStr">
        <is>
          <t>GÖTENE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45440</v>
      </c>
      <c r="E97" s="1" t="n">
        <v>46297</v>
      </c>
      <c r="F97" t="inlineStr">
        <is>
          <t>VÄSTRA GÖTALANDS LÄN</t>
        </is>
      </c>
      <c r="G97" t="inlineStr">
        <is>
          <t>GÖTENE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46297</v>
      </c>
      <c r="F98" t="inlineStr">
        <is>
          <t>VÄSTRA GÖTALANDS LÄN</t>
        </is>
      </c>
      <c r="G98" t="inlineStr">
        <is>
          <t>GÖTENE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44827</v>
      </c>
      <c r="E99" s="1" t="n">
        <v>46297</v>
      </c>
      <c r="F99" t="inlineStr">
        <is>
          <t>VÄSTRA GÖTALANDS LÄN</t>
        </is>
      </c>
      <c r="G99" t="inlineStr">
        <is>
          <t>GÖTENE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46297</v>
      </c>
      <c r="F100" t="inlineStr">
        <is>
          <t>VÄSTRA GÖTALANDS LÄN</t>
        </is>
      </c>
      <c r="G100" t="inlineStr">
        <is>
          <t>GÖTENE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46297</v>
      </c>
      <c r="F101" t="inlineStr">
        <is>
          <t>VÄSTRA GÖTALANDS LÄN</t>
        </is>
      </c>
      <c r="G101" t="inlineStr">
        <is>
          <t>GÖTENE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46297</v>
      </c>
      <c r="F102" t="inlineStr">
        <is>
          <t>VÄSTRA GÖTALANDS LÄN</t>
        </is>
      </c>
      <c r="G102" t="inlineStr">
        <is>
          <t>GÖTENE</t>
        </is>
      </c>
      <c r="I102" t="n">
        <v>18.8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46297</v>
      </c>
      <c r="F103" t="inlineStr">
        <is>
          <t>VÄSTRA GÖTALANDS LÄN</t>
        </is>
      </c>
      <c r="G103" t="inlineStr">
        <is>
          <t>GÖTENE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46297</v>
      </c>
      <c r="F104" t="inlineStr">
        <is>
          <t>VÄSTRA GÖTALANDS LÄN</t>
        </is>
      </c>
      <c r="G104" t="inlineStr">
        <is>
          <t>GÖTENE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46297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56169-2024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46297</v>
      </c>
      <c r="F106" t="inlineStr">
        <is>
          <t>VÄSTRA GÖTALANDS LÄN</t>
        </is>
      </c>
      <c r="G106" t="inlineStr">
        <is>
          <t>GÖTENE</t>
        </is>
      </c>
      <c r="I106" t="n">
        <v>19.7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44931</v>
      </c>
      <c r="E107" s="1" t="n">
        <v>46297</v>
      </c>
      <c r="F107" t="inlineStr">
        <is>
          <t>VÄSTRA GÖTALANDS LÄN</t>
        </is>
      </c>
      <c r="G107" t="inlineStr">
        <is>
          <t>GÖTENE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46297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18776-2026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46128</v>
      </c>
      <c r="E109" s="1" t="n">
        <v>46297</v>
      </c>
      <c r="F109" t="inlineStr">
        <is>
          <t>VÄSTRA GÖTALANDS LÄN</t>
        </is>
      </c>
      <c r="G109" t="inlineStr">
        <is>
          <t>GÖTENE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45986</v>
      </c>
      <c r="E110" s="1" t="n">
        <v>46297</v>
      </c>
      <c r="F110" t="inlineStr">
        <is>
          <t>VÄSTRA GÖTALANDS LÄN</t>
        </is>
      </c>
      <c r="G110" t="inlineStr">
        <is>
          <t>GÖTENE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46297</v>
      </c>
      <c r="F111" t="inlineStr">
        <is>
          <t>VÄSTRA GÖTALANDS LÄN</t>
        </is>
      </c>
      <c r="G111" t="inlineStr">
        <is>
          <t>GÖTENE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46297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46297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46297</v>
      </c>
      <c r="F114" t="inlineStr">
        <is>
          <t>VÄSTRA GÖTALANDS LÄN</t>
        </is>
      </c>
      <c r="G114" t="inlineStr">
        <is>
          <t>GÖTENE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12660-2023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45000</v>
      </c>
      <c r="E115" s="1" t="n">
        <v>46297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46297</v>
      </c>
      <c r="F116" t="inlineStr">
        <is>
          <t>VÄSTRA GÖTALANDS LÄN</t>
        </is>
      </c>
      <c r="G116" t="inlineStr">
        <is>
          <t>GÖTENE</t>
        </is>
      </c>
      <c r="H116" t="inlineStr">
        <is>
          <t>Övriga Aktiebolag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46297</v>
      </c>
      <c r="F117" t="inlineStr">
        <is>
          <t>VÄSTRA GÖTALANDS LÄN</t>
        </is>
      </c>
      <c r="G117" t="inlineStr">
        <is>
          <t>GÖTENE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46297</v>
      </c>
      <c r="F118" t="inlineStr">
        <is>
          <t>VÄSTRA GÖTALANDS LÄN</t>
        </is>
      </c>
      <c r="G118" t="inlineStr">
        <is>
          <t>GÖTENE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46297</v>
      </c>
      <c r="F119" t="inlineStr">
        <is>
          <t>VÄSTRA GÖTALANDS LÄN</t>
        </is>
      </c>
      <c r="G119" t="inlineStr">
        <is>
          <t>GÖTENE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46297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44757</v>
      </c>
      <c r="E121" s="1" t="n">
        <v>46297</v>
      </c>
      <c r="F121" t="inlineStr">
        <is>
          <t>VÄSTRA GÖTALANDS LÄN</t>
        </is>
      </c>
      <c r="G121" t="inlineStr">
        <is>
          <t>GÖTENE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45119</v>
      </c>
      <c r="E122" s="1" t="n">
        <v>46297</v>
      </c>
      <c r="F122" t="inlineStr">
        <is>
          <t>VÄSTRA GÖTALANDS LÄN</t>
        </is>
      </c>
      <c r="G122" t="inlineStr">
        <is>
          <t>GÖTENE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46297</v>
      </c>
      <c r="F123" t="inlineStr">
        <is>
          <t>VÄSTRA GÖTALANDS LÄN</t>
        </is>
      </c>
      <c r="G123" t="inlineStr">
        <is>
          <t>GÖTENE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46297</v>
      </c>
      <c r="F124" t="inlineStr">
        <is>
          <t>VÄSTRA GÖTALANDS LÄN</t>
        </is>
      </c>
      <c r="G124" t="inlineStr">
        <is>
          <t>GÖTENE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46297</v>
      </c>
      <c r="F125" t="inlineStr">
        <is>
          <t>VÄSTRA GÖTALANDS LÄN</t>
        </is>
      </c>
      <c r="G125" t="inlineStr">
        <is>
          <t>GÖTENE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46297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Kyrkan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46297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Kyrkan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46297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45736</v>
      </c>
      <c r="E129" s="1" t="n">
        <v>46297</v>
      </c>
      <c r="F129" t="inlineStr">
        <is>
          <t>VÄSTRA GÖTALANDS LÄN</t>
        </is>
      </c>
      <c r="G129" t="inlineStr">
        <is>
          <t>GÖTENE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45013-2025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46297</v>
      </c>
      <c r="F130" t="inlineStr">
        <is>
          <t>VÄSTRA GÖTALANDS LÄN</t>
        </is>
      </c>
      <c r="G130" t="inlineStr">
        <is>
          <t>GÖTENE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46297</v>
      </c>
      <c r="F131" t="inlineStr">
        <is>
          <t>VÄSTRA GÖTALANDS LÄN</t>
        </is>
      </c>
      <c r="G131" t="inlineStr">
        <is>
          <t>GÖTENE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45670</v>
      </c>
      <c r="E132" s="1" t="n">
        <v>46297</v>
      </c>
      <c r="F132" t="inlineStr">
        <is>
          <t>VÄSTRA GÖTALANDS LÄN</t>
        </is>
      </c>
      <c r="G132" t="inlineStr">
        <is>
          <t>GÖTENE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46297</v>
      </c>
      <c r="F133" t="inlineStr">
        <is>
          <t>VÄSTRA GÖTALANDS LÄN</t>
        </is>
      </c>
      <c r="G133" t="inlineStr">
        <is>
          <t>GÖTENE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20812-2026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46297</v>
      </c>
      <c r="F134" t="inlineStr">
        <is>
          <t>VÄSTRA GÖTALANDS LÄN</t>
        </is>
      </c>
      <c r="G134" t="inlineStr">
        <is>
          <t>GÖTENE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45518</v>
      </c>
      <c r="E135" s="1" t="n">
        <v>46297</v>
      </c>
      <c r="F135" t="inlineStr">
        <is>
          <t>VÄSTRA GÖTALANDS LÄN</t>
        </is>
      </c>
      <c r="G135" t="inlineStr">
        <is>
          <t>GÖTENE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46297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44924</v>
      </c>
      <c r="E137" s="1" t="n">
        <v>46297</v>
      </c>
      <c r="F137" t="inlineStr">
        <is>
          <t>VÄSTRA GÖTALANDS LÄN</t>
        </is>
      </c>
      <c r="G137" t="inlineStr">
        <is>
          <t>GÖTENE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61021-2022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44914</v>
      </c>
      <c r="E138" s="1" t="n">
        <v>46297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44931</v>
      </c>
      <c r="E139" s="1" t="n">
        <v>46297</v>
      </c>
      <c r="F139" t="inlineStr">
        <is>
          <t>VÄSTRA GÖTALANDS LÄN</t>
        </is>
      </c>
      <c r="G139" t="inlineStr">
        <is>
          <t>GÖTENE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25594-2025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45803</v>
      </c>
      <c r="E140" s="1" t="n">
        <v>46297</v>
      </c>
      <c r="F140" t="inlineStr">
        <is>
          <t>VÄSTRA GÖTALANDS LÄN</t>
        </is>
      </c>
      <c r="G140" t="inlineStr">
        <is>
          <t>GÖTENE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46297</v>
      </c>
      <c r="F141" t="inlineStr">
        <is>
          <t>VÄSTRA GÖTALANDS LÄN</t>
        </is>
      </c>
      <c r="G141" t="inlineStr">
        <is>
          <t>GÖTENE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46297</v>
      </c>
      <c r="F142" t="inlineStr">
        <is>
          <t>VÄSTRA GÖTALANDS LÄN</t>
        </is>
      </c>
      <c r="G142" t="inlineStr">
        <is>
          <t>GÖTENE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46147</v>
      </c>
      <c r="E143" s="1" t="n">
        <v>46297</v>
      </c>
      <c r="F143" t="inlineStr">
        <is>
          <t>VÄSTRA GÖTALANDS LÄN</t>
        </is>
      </c>
      <c r="G143" t="inlineStr">
        <is>
          <t>GÖTENE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46297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46297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46297</v>
      </c>
      <c r="F146" t="inlineStr">
        <is>
          <t>VÄSTRA GÖTALANDS LÄN</t>
        </is>
      </c>
      <c r="G146" t="inlineStr">
        <is>
          <t>GÖTENE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46297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46297</v>
      </c>
      <c r="F148" t="inlineStr">
        <is>
          <t>VÄSTRA GÖTALANDS LÄN</t>
        </is>
      </c>
      <c r="G148" t="inlineStr">
        <is>
          <t>GÖTENE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46160</v>
      </c>
      <c r="E149" s="1" t="n">
        <v>46297</v>
      </c>
      <c r="F149" t="inlineStr">
        <is>
          <t>VÄSTRA GÖTALANDS LÄN</t>
        </is>
      </c>
      <c r="G149" t="inlineStr">
        <is>
          <t>GÖTENE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46297</v>
      </c>
      <c r="F150" t="inlineStr">
        <is>
          <t>VÄSTRA GÖTALANDS LÄN</t>
        </is>
      </c>
      <c r="G150" t="inlineStr">
        <is>
          <t>GÖTENE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46297</v>
      </c>
      <c r="F151" t="inlineStr">
        <is>
          <t>VÄSTRA GÖTALANDS LÄN</t>
        </is>
      </c>
      <c r="G151" t="inlineStr">
        <is>
          <t>GÖTENE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46297</v>
      </c>
      <c r="F152" t="inlineStr">
        <is>
          <t>VÄSTRA GÖTALANDS LÄN</t>
        </is>
      </c>
      <c r="G152" t="inlineStr">
        <is>
          <t>GÖTENE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46297</v>
      </c>
      <c r="F153" t="inlineStr">
        <is>
          <t>VÄSTRA GÖTALANDS LÄN</t>
        </is>
      </c>
      <c r="G153" t="inlineStr">
        <is>
          <t>GÖTENE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46297</v>
      </c>
      <c r="F154" t="inlineStr">
        <is>
          <t>VÄSTRA GÖTALANDS LÄN</t>
        </is>
      </c>
      <c r="G154" t="inlineStr">
        <is>
          <t>GÖTENE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46297</v>
      </c>
      <c r="F155" t="inlineStr">
        <is>
          <t>VÄSTRA GÖTALANDS LÄN</t>
        </is>
      </c>
      <c r="G155" t="inlineStr">
        <is>
          <t>GÖTENE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46297</v>
      </c>
      <c r="F156" t="inlineStr">
        <is>
          <t>VÄSTRA GÖTALANDS LÄN</t>
        </is>
      </c>
      <c r="G156" t="inlineStr">
        <is>
          <t>GÖTENE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25777-2026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46178</v>
      </c>
      <c r="E157" s="1" t="n">
        <v>46297</v>
      </c>
      <c r="F157" t="inlineStr">
        <is>
          <t>VÄSTRA GÖTALANDS LÄN</t>
        </is>
      </c>
      <c r="G157" t="inlineStr">
        <is>
          <t>GÖTENE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46297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46297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46297</v>
      </c>
      <c r="F160" t="inlineStr">
        <is>
          <t>VÄSTRA GÖTALANDS LÄN</t>
        </is>
      </c>
      <c r="G160" t="inlineStr">
        <is>
          <t>GÖTENE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46297</v>
      </c>
      <c r="F161" t="inlineStr">
        <is>
          <t>VÄSTRA GÖTALANDS LÄN</t>
        </is>
      </c>
      <c r="G161" t="inlineStr">
        <is>
          <t>GÖTENE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44645</v>
      </c>
      <c r="E162" s="1" t="n">
        <v>46297</v>
      </c>
      <c r="F162" t="inlineStr">
        <is>
          <t>VÄSTRA GÖTALANDS LÄN</t>
        </is>
      </c>
      <c r="G162" t="inlineStr">
        <is>
          <t>GÖTENE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46297</v>
      </c>
      <c r="F163" t="inlineStr">
        <is>
          <t>VÄSTRA GÖTALANDS LÄN</t>
        </is>
      </c>
      <c r="G163" t="inlineStr">
        <is>
          <t>GÖTENE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46297</v>
      </c>
      <c r="F164" t="inlineStr">
        <is>
          <t>VÄSTRA GÖTALANDS LÄN</t>
        </is>
      </c>
      <c r="G164" t="inlineStr">
        <is>
          <t>GÖTENE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46297</v>
      </c>
      <c r="F165" t="inlineStr">
        <is>
          <t>VÄSTRA GÖTALANDS LÄN</t>
        </is>
      </c>
      <c r="G165" t="inlineStr">
        <is>
          <t>GÖTENE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45051</v>
      </c>
      <c r="E166" s="1" t="n">
        <v>46297</v>
      </c>
      <c r="F166" t="inlineStr">
        <is>
          <t>VÄSTRA GÖTALANDS LÄN</t>
        </is>
      </c>
      <c r="G166" t="inlineStr">
        <is>
          <t>GÖTENE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46297</v>
      </c>
      <c r="F167" t="inlineStr">
        <is>
          <t>VÄSTRA GÖTALANDS LÄN</t>
        </is>
      </c>
      <c r="G167" t="inlineStr">
        <is>
          <t>GÖTENE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46297</v>
      </c>
      <c r="F168" t="inlineStr">
        <is>
          <t>VÄSTRA GÖTALANDS LÄN</t>
        </is>
      </c>
      <c r="G168" t="inlineStr">
        <is>
          <t>GÖTENE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46297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46297</v>
      </c>
      <c r="F170" t="inlineStr">
        <is>
          <t>VÄSTRA GÖTALANDS LÄN</t>
        </is>
      </c>
      <c r="G170" t="inlineStr">
        <is>
          <t>GÖTENE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44706</v>
      </c>
      <c r="E171" s="1" t="n">
        <v>46297</v>
      </c>
      <c r="F171" t="inlineStr">
        <is>
          <t>VÄSTRA GÖTALANDS LÄN</t>
        </is>
      </c>
      <c r="G171" t="inlineStr">
        <is>
          <t>GÖTENE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45146</v>
      </c>
      <c r="E172" s="1" t="n">
        <v>46297</v>
      </c>
      <c r="F172" t="inlineStr">
        <is>
          <t>VÄSTRA GÖTALANDS LÄN</t>
        </is>
      </c>
      <c r="G172" t="inlineStr">
        <is>
          <t>GÖTENE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46297</v>
      </c>
      <c r="F173" t="inlineStr">
        <is>
          <t>VÄSTRA GÖTALANDS LÄN</t>
        </is>
      </c>
      <c r="G173" t="inlineStr">
        <is>
          <t>GÖTENE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46297</v>
      </c>
      <c r="F174" t="inlineStr">
        <is>
          <t>VÄSTRA GÖTALANDS LÄN</t>
        </is>
      </c>
      <c r="G174" t="inlineStr">
        <is>
          <t>GÖTENE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46297</v>
      </c>
      <c r="F175" t="inlineStr">
        <is>
          <t>VÄSTRA GÖTALANDS LÄN</t>
        </is>
      </c>
      <c r="G175" t="inlineStr">
        <is>
          <t>GÖTENE</t>
        </is>
      </c>
      <c r="H175" t="inlineStr">
        <is>
          <t>Sveaskog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46297</v>
      </c>
      <c r="F176" t="inlineStr">
        <is>
          <t>VÄSTRA GÖTALANDS LÄN</t>
        </is>
      </c>
      <c r="G176" t="inlineStr">
        <is>
          <t>GÖTENE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46297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46297</v>
      </c>
      <c r="F178" t="inlineStr">
        <is>
          <t>VÄSTRA GÖTALANDS LÄN</t>
        </is>
      </c>
      <c r="G178" t="inlineStr">
        <is>
          <t>GÖTENE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44777</v>
      </c>
      <c r="E179" s="1" t="n">
        <v>46297</v>
      </c>
      <c r="F179" t="inlineStr">
        <is>
          <t>VÄSTRA GÖTALANDS LÄN</t>
        </is>
      </c>
      <c r="G179" t="inlineStr">
        <is>
          <t>GÖTENE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46297</v>
      </c>
      <c r="F180" t="inlineStr">
        <is>
          <t>VÄSTRA GÖTALANDS LÄN</t>
        </is>
      </c>
      <c r="G180" t="inlineStr">
        <is>
          <t>GÖTENE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46219</v>
      </c>
      <c r="E181" s="1" t="n">
        <v>46297</v>
      </c>
      <c r="F181" t="inlineStr">
        <is>
          <t>VÄSTRA GÖTALANDS LÄN</t>
        </is>
      </c>
      <c r="G181" t="inlineStr">
        <is>
          <t>GÖTENE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46219</v>
      </c>
      <c r="E182" s="1" t="n">
        <v>46297</v>
      </c>
      <c r="F182" t="inlineStr">
        <is>
          <t>VÄSTRA GÖTALANDS LÄN</t>
        </is>
      </c>
      <c r="G182" t="inlineStr">
        <is>
          <t>GÖTENE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46266</v>
      </c>
      <c r="E183" s="1" t="n">
        <v>46297</v>
      </c>
      <c r="F183" t="inlineStr">
        <is>
          <t>VÄSTRA GÖTALANDS LÄN</t>
        </is>
      </c>
      <c r="G183" t="inlineStr">
        <is>
          <t>GÖTENE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44638</v>
      </c>
      <c r="E184" s="1" t="n">
        <v>46297</v>
      </c>
      <c r="F184" t="inlineStr">
        <is>
          <t>VÄSTRA GÖTALANDS LÄN</t>
        </is>
      </c>
      <c r="G184" t="inlineStr">
        <is>
          <t>GÖTENE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46220</v>
      </c>
      <c r="E185" s="1" t="n">
        <v>46297</v>
      </c>
      <c r="F185" t="inlineStr">
        <is>
          <t>VÄSTRA GÖTALANDS LÄN</t>
        </is>
      </c>
      <c r="G185" t="inlineStr">
        <is>
          <t>GÖTENE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46220</v>
      </c>
      <c r="E186" s="1" t="n">
        <v>46297</v>
      </c>
      <c r="F186" t="inlineStr">
        <is>
          <t>VÄSTRA GÖTALANDS LÄN</t>
        </is>
      </c>
      <c r="G186" t="inlineStr">
        <is>
          <t>GÖTENE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46297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46297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45152</v>
      </c>
      <c r="E189" s="1" t="n">
        <v>46297</v>
      </c>
      <c r="F189" t="inlineStr">
        <is>
          <t>VÄSTRA GÖTALANDS LÄN</t>
        </is>
      </c>
      <c r="G189" t="inlineStr">
        <is>
          <t>GÖTENE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46297</v>
      </c>
      <c r="F190" t="inlineStr">
        <is>
          <t>VÄSTRA GÖTALANDS LÄN</t>
        </is>
      </c>
      <c r="G190" t="inlineStr">
        <is>
          <t>GÖTENE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45386</v>
      </c>
      <c r="E191" s="1" t="n">
        <v>46297</v>
      </c>
      <c r="F191" t="inlineStr">
        <is>
          <t>VÄSTRA GÖTALANDS LÄN</t>
        </is>
      </c>
      <c r="G191" t="inlineStr">
        <is>
          <t>GÖTENE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19683-2023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46297</v>
      </c>
      <c r="F192" t="inlineStr">
        <is>
          <t>VÄSTRA GÖTALANDS LÄN</t>
        </is>
      </c>
      <c r="G192" t="inlineStr">
        <is>
          <t>GÖTENE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46297</v>
      </c>
      <c r="F193" t="inlineStr">
        <is>
          <t>VÄSTRA GÖTALANDS LÄN</t>
        </is>
      </c>
      <c r="G193" t="inlineStr">
        <is>
          <t>GÖTENE</t>
        </is>
      </c>
      <c r="H193" t="inlineStr">
        <is>
          <t>Kommuner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46276</v>
      </c>
      <c r="E194" s="1" t="n">
        <v>46297</v>
      </c>
      <c r="F194" t="inlineStr">
        <is>
          <t>VÄSTRA GÖTALANDS LÄN</t>
        </is>
      </c>
      <c r="G194" t="inlineStr">
        <is>
          <t>GÖTENE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44817</v>
      </c>
      <c r="E195" s="1" t="n">
        <v>46297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46237</v>
      </c>
      <c r="E196" s="1" t="n">
        <v>46297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Övriga Aktiebolag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46238</v>
      </c>
      <c r="E197" s="1" t="n">
        <v>46297</v>
      </c>
      <c r="F197" t="inlineStr">
        <is>
          <t>VÄSTRA GÖTALANDS LÄN</t>
        </is>
      </c>
      <c r="G197" t="inlineStr">
        <is>
          <t>GÖTENE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46238</v>
      </c>
      <c r="E198" s="1" t="n">
        <v>46297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46297</v>
      </c>
      <c r="F199" t="inlineStr">
        <is>
          <t>VÄSTRA GÖTALANDS LÄN</t>
        </is>
      </c>
      <c r="G199" t="inlineStr">
        <is>
          <t>GÖTENE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44628</v>
      </c>
      <c r="E200" s="1" t="n">
        <v>46297</v>
      </c>
      <c r="F200" t="inlineStr">
        <is>
          <t>VÄSTRA GÖTALANDS LÄN</t>
        </is>
      </c>
      <c r="G200" t="inlineStr">
        <is>
          <t>GÖTENE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46297</v>
      </c>
      <c r="F201" t="inlineStr">
        <is>
          <t>VÄSTRA GÖTALANDS LÄN</t>
        </is>
      </c>
      <c r="G201" t="inlineStr">
        <is>
          <t>GÖTENE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46297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46297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46297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46297</v>
      </c>
      <c r="F205" t="inlineStr">
        <is>
          <t>VÄSTRA GÖTALANDS LÄN</t>
        </is>
      </c>
      <c r="G205" t="inlineStr">
        <is>
          <t>GÖTENE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46297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46297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46266</v>
      </c>
      <c r="E208" s="1" t="n">
        <v>46297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46297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46296</v>
      </c>
      <c r="E210" s="1" t="n">
        <v>46297</v>
      </c>
      <c r="F210" t="inlineStr">
        <is>
          <t>VÄSTRA GÖTALANDS LÄN</t>
        </is>
      </c>
      <c r="G210" t="inlineStr">
        <is>
          <t>GÖTENE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46297</v>
      </c>
      <c r="F211" t="inlineStr">
        <is>
          <t>VÄSTRA GÖTALANDS LÄN</t>
        </is>
      </c>
      <c r="G211" t="inlineStr">
        <is>
          <t>GÖTENE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46252</v>
      </c>
      <c r="E212" s="1" t="n">
        <v>46297</v>
      </c>
      <c r="F212" t="inlineStr">
        <is>
          <t>VÄSTRA GÖTALANDS LÄN</t>
        </is>
      </c>
      <c r="G212" t="inlineStr">
        <is>
          <t>GÖTENE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46297</v>
      </c>
      <c r="F213" t="inlineStr">
        <is>
          <t>VÄSTRA GÖTALANDS LÄN</t>
        </is>
      </c>
      <c r="G213" t="inlineStr">
        <is>
          <t>GÖTENE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46297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46297</v>
      </c>
      <c r="F215" t="inlineStr">
        <is>
          <t>VÄSTRA GÖTALANDS LÄN</t>
        </is>
      </c>
      <c r="G215" t="inlineStr">
        <is>
          <t>GÖTENE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46297</v>
      </c>
      <c r="F216" t="inlineStr">
        <is>
          <t>VÄSTRA GÖTALANDS LÄN</t>
        </is>
      </c>
      <c r="G216" t="inlineStr">
        <is>
          <t>GÖTENE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46297</v>
      </c>
      <c r="F217" t="inlineStr">
        <is>
          <t>VÄSTRA GÖTALANDS LÄN</t>
        </is>
      </c>
      <c r="G217" t="inlineStr">
        <is>
          <t>GÖTENE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44645</v>
      </c>
      <c r="E218" s="1" t="n">
        <v>46297</v>
      </c>
      <c r="F218" t="inlineStr">
        <is>
          <t>VÄSTRA GÖTALANDS LÄN</t>
        </is>
      </c>
      <c r="G218" t="inlineStr">
        <is>
          <t>GÖTENE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46297</v>
      </c>
      <c r="F219" t="inlineStr">
        <is>
          <t>VÄSTRA GÖTALANDS LÄN</t>
        </is>
      </c>
      <c r="G219" t="inlineStr">
        <is>
          <t>GÖTENE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45069</v>
      </c>
      <c r="E220" s="1" t="n">
        <v>46297</v>
      </c>
      <c r="F220" t="inlineStr">
        <is>
          <t>VÄSTRA GÖTALANDS LÄN</t>
        </is>
      </c>
      <c r="G220" t="inlineStr">
        <is>
          <t>GÖTENE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46297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46297</v>
      </c>
      <c r="F222" t="inlineStr">
        <is>
          <t>VÄSTRA GÖTALANDS LÄN</t>
        </is>
      </c>
      <c r="G222" t="inlineStr">
        <is>
          <t>GÖTENE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46297</v>
      </c>
      <c r="F223" t="inlineStr">
        <is>
          <t>VÄSTRA GÖTALANDS LÄN</t>
        </is>
      </c>
      <c r="G223" t="inlineStr">
        <is>
          <t>GÖTENE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21269-2024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46297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45477</v>
      </c>
      <c r="E225" s="1" t="n">
        <v>46297</v>
      </c>
      <c r="F225" t="inlineStr">
        <is>
          <t>VÄSTRA GÖTALANDS LÄN</t>
        </is>
      </c>
      <c r="G225" t="inlineStr">
        <is>
          <t>GÖTENE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6120-2022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44862</v>
      </c>
      <c r="E226" s="1" t="n">
        <v>46297</v>
      </c>
      <c r="F226" t="inlineStr">
        <is>
          <t>VÄSTRA GÖTALANDS LÄN</t>
        </is>
      </c>
      <c r="G226" t="inlineStr">
        <is>
          <t>GÖTENE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615-2024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46297</v>
      </c>
      <c r="F227" t="inlineStr">
        <is>
          <t>VÄSTRA GÖTALANDS LÄN</t>
        </is>
      </c>
      <c r="G227" t="inlineStr">
        <is>
          <t>GÖTENE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614-2024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46297</v>
      </c>
      <c r="F228" t="inlineStr">
        <is>
          <t>VÄSTRA GÖTALANDS LÄN</t>
        </is>
      </c>
      <c r="G228" t="inlineStr">
        <is>
          <t>GÖTENE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2026-10-02T02:06:03Z</dcterms:created>
  <dcterms:modified xmlns:dcterms="http://purl.org/dc/terms/" xmlns:xsi="http://www.w3.org/2001/XMLSchema-instance" xsi:type="dcterms:W3CDTF">2026-10-02T02:06:03Z</dcterms:modified>
</cp:coreProperties>
</file>