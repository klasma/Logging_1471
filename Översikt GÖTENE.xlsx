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46286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46286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46286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46286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46286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46286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46286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46286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46286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33478-2026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46286</v>
      </c>
      <c r="F20" t="inlineStr">
        <is>
          <t>VÄSTRA GÖTALANDS LÄN</t>
        </is>
      </c>
      <c r="G20" t="inlineStr">
        <is>
          <t>GÖTENE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Rödbrun jordstjärna</t>
        </is>
      </c>
      <c r="W20">
        <f>HYPERLINK("https://klasma.github.io/Logging_1471/artfynd/A 33478-2026 artfynd.xlsx", "A 33478-2026")</f>
        <v/>
      </c>
      <c r="X20">
        <f>HYPERLINK("https://klasma.github.io/Logging_1471/kartor/A 33478-2026 karta.png", "A 33478-2026")</f>
        <v/>
      </c>
      <c r="Y20">
        <f>HYPERLINK("https://klasma.github.io/Logging_1471/kartor_geotiff/A 33478-2026 georefererad karta.tif", "A 33478-2026")</f>
        <v/>
      </c>
      <c r="AA20">
        <f>HYPERLINK("https://klasma.github.io/Logging_1471/klagomål/A 33478-2026 FSC-klagomål.docx", "A 33478-2026")</f>
        <v/>
      </c>
      <c r="AB20">
        <f>HYPERLINK("https://klasma.github.io/Logging_1471/klagomålsmail/A 33478-2026 FSC-klagomål mail.docx", "A 33478-2026")</f>
        <v/>
      </c>
      <c r="AC20">
        <f>HYPERLINK("https://klasma.github.io/Logging_1471/tillsyn/A 33478-2026 tillsynsbegäran.docx", "A 33478-2026")</f>
        <v/>
      </c>
      <c r="AD20">
        <f>HYPERLINK("https://klasma.github.io/Logging_1471/tillsynsmail/A 33478-2026 tillsynsbegäran mail.docx", "A 33478-2026")</f>
        <v/>
      </c>
    </row>
    <row r="21" ht="15" customHeight="1">
      <c r="A21" t="inlineStr">
        <is>
          <t>A 5086-2024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45330</v>
      </c>
      <c r="E21" s="1" t="n">
        <v>46286</v>
      </c>
      <c r="F21" t="inlineStr">
        <is>
          <t>VÄSTRA GÖTALANDS LÄN</t>
        </is>
      </c>
      <c r="G21" t="inlineStr">
        <is>
          <t>GÖTENE</t>
        </is>
      </c>
      <c r="I21" t="n">
        <v>4.5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Strävlosta</t>
        </is>
      </c>
      <c r="W21">
        <f>HYPERLINK("https://klasma.github.io/Logging_1471/artfynd/A 5086-2024 artfynd.xlsx", "A 5086-2024")</f>
        <v/>
      </c>
      <c r="X21">
        <f>HYPERLINK("https://klasma.github.io/Logging_1471/kartor/A 5086-2024 karta.png", "A 5086-2024")</f>
        <v/>
      </c>
      <c r="Y21">
        <f>HYPERLINK("https://klasma.github.io/Logging_1471/kartor_geotiff/A 5086-2024 georefererad karta.tif", "A 5086-2024")</f>
        <v/>
      </c>
      <c r="AA21">
        <f>HYPERLINK("https://klasma.github.io/Logging_1471/klagomål/A 5086-2024 FSC-klagomål.docx", "A 5086-2024")</f>
        <v/>
      </c>
      <c r="AB21">
        <f>HYPERLINK("https://klasma.github.io/Logging_1471/klagomålsmail/A 5086-2024 FSC-klagomål mail.docx", "A 5086-2024")</f>
        <v/>
      </c>
      <c r="AC21">
        <f>HYPERLINK("https://klasma.github.io/Logging_1471/tillsyn/A 5086-2024 tillsynsbegäran.docx", "A 5086-2024")</f>
        <v/>
      </c>
      <c r="AD21">
        <f>HYPERLINK("https://klasma.github.io/Logging_1471/tillsynsmail/A 5086-2024 tillsynsbegäran mail.docx", "A 5086-2024")</f>
        <v/>
      </c>
    </row>
    <row r="22" ht="15" customHeight="1">
      <c r="A22" t="inlineStr">
        <is>
          <t>A 28273-2023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46286</v>
      </c>
      <c r="F22" t="inlineStr">
        <is>
          <t>VÄSTRA GÖTALANDS LÄN</t>
        </is>
      </c>
      <c r="G22" t="inlineStr">
        <is>
          <t>GÖTENE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Åkergroda</t>
        </is>
      </c>
      <c r="W22">
        <f>HYPERLINK("https://klasma.github.io/Logging_1471/artfynd/A 28273-2023 artfynd.xlsx", "A 28273-2023")</f>
        <v/>
      </c>
      <c r="X22">
        <f>HYPERLINK("https://klasma.github.io/Logging_1471/kartor/A 28273-2023 karta.png", "A 28273-2023")</f>
        <v/>
      </c>
      <c r="Y22">
        <f>HYPERLINK("https://klasma.github.io/Logging_1471/kartor_geotiff/A 28273-2023 georefererad karta.tif", "A 28273-2023")</f>
        <v/>
      </c>
      <c r="AA22">
        <f>HYPERLINK("https://klasma.github.io/Logging_1471/klagomål/A 28273-2023 FSC-klagomål.docx", "A 28273-2023")</f>
        <v/>
      </c>
      <c r="AB22">
        <f>HYPERLINK("https://klasma.github.io/Logging_1471/klagomålsmail/A 28273-2023 FSC-klagomål mail.docx", "A 28273-2023")</f>
        <v/>
      </c>
      <c r="AC22">
        <f>HYPERLINK("https://klasma.github.io/Logging_1471/tillsyn/A 28273-2023 tillsynsbegäran.docx", "A 28273-2023")</f>
        <v/>
      </c>
      <c r="AD22">
        <f>HYPERLINK("https://klasma.github.io/Logging_1471/tillsynsmail/A 28273-2023 tillsynsbegäran mail.docx", "A 28273-2023")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46286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46286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46286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46286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46286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46286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46286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46286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46286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46286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46286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46286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46286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46286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46286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46286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46286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46286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46286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46286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46286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46286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46286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46286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46286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46286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46286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46286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46286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46286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46286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46286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46286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46286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46286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46286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46286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46286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46286</v>
      </c>
      <c r="F64" t="inlineStr">
        <is>
          <t>VÄSTRA GÖTALANDS LÄN</t>
        </is>
      </c>
      <c r="G64" t="inlineStr">
        <is>
          <t>GÖTENE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46286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46286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46286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46286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46286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46286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46286</v>
      </c>
      <c r="F71" t="inlineStr">
        <is>
          <t>VÄSTRA GÖTALANDS LÄN</t>
        </is>
      </c>
      <c r="G71" t="inlineStr">
        <is>
          <t>GÖTENE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45034</v>
      </c>
      <c r="E72" s="1" t="n">
        <v>46286</v>
      </c>
      <c r="F72" t="inlineStr">
        <is>
          <t>VÄSTRA GÖTALANDS LÄN</t>
        </is>
      </c>
      <c r="G72" t="inlineStr">
        <is>
          <t>GÖTENE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46286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46286</v>
      </c>
      <c r="F74" t="inlineStr">
        <is>
          <t>VÄSTRA GÖTALANDS LÄN</t>
        </is>
      </c>
      <c r="G74" t="inlineStr">
        <is>
          <t>GÖTENE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46286</v>
      </c>
      <c r="F75" t="inlineStr">
        <is>
          <t>VÄSTRA GÖTALANDS LÄN</t>
        </is>
      </c>
      <c r="G75" t="inlineStr">
        <is>
          <t>GÖTENE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46286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46286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45361</v>
      </c>
      <c r="E78" s="1" t="n">
        <v>46286</v>
      </c>
      <c r="F78" t="inlineStr">
        <is>
          <t>VÄSTRA GÖTALANDS LÄN</t>
        </is>
      </c>
      <c r="G78" t="inlineStr">
        <is>
          <t>GÖTENE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46286</v>
      </c>
      <c r="F79" t="inlineStr">
        <is>
          <t>VÄSTRA GÖTALANDS LÄN</t>
        </is>
      </c>
      <c r="G79" t="inlineStr">
        <is>
          <t>GÖTENE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44757</v>
      </c>
      <c r="E80" s="1" t="n">
        <v>46286</v>
      </c>
      <c r="F80" t="inlineStr">
        <is>
          <t>VÄSTRA GÖTALANDS LÄN</t>
        </is>
      </c>
      <c r="G80" t="inlineStr">
        <is>
          <t>GÖTENE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46286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46286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46286</v>
      </c>
      <c r="F83" t="inlineStr">
        <is>
          <t>VÄSTRA GÖTALANDS LÄN</t>
        </is>
      </c>
      <c r="G83" t="inlineStr">
        <is>
          <t>GÖTENE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46286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46286</v>
      </c>
      <c r="F85" t="inlineStr">
        <is>
          <t>VÄSTRA GÖTALANDS LÄN</t>
        </is>
      </c>
      <c r="G85" t="inlineStr">
        <is>
          <t>GÖTENE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46286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12660-2023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45000</v>
      </c>
      <c r="E87" s="1" t="n">
        <v>46286</v>
      </c>
      <c r="F87" t="inlineStr">
        <is>
          <t>VÄSTRA GÖTALANDS LÄN</t>
        </is>
      </c>
      <c r="G87" t="inlineStr">
        <is>
          <t>GÖTENE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25594-2025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45803</v>
      </c>
      <c r="E88" s="1" t="n">
        <v>46286</v>
      </c>
      <c r="F88" t="inlineStr">
        <is>
          <t>VÄSTRA GÖTALANDS LÄN</t>
        </is>
      </c>
      <c r="G88" t="inlineStr">
        <is>
          <t>GÖTENE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46286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46286</v>
      </c>
      <c r="F90" t="inlineStr">
        <is>
          <t>VÄSTRA GÖTALANDS LÄN</t>
        </is>
      </c>
      <c r="G90" t="inlineStr">
        <is>
          <t>GÖTENE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46286</v>
      </c>
      <c r="F91" t="inlineStr">
        <is>
          <t>VÄSTRA GÖTALANDS LÄN</t>
        </is>
      </c>
      <c r="G91" t="inlineStr">
        <is>
          <t>GÖTENE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46286</v>
      </c>
      <c r="F92" t="inlineStr">
        <is>
          <t>VÄSTRA GÖTALANDS LÄN</t>
        </is>
      </c>
      <c r="G92" t="inlineStr">
        <is>
          <t>GÖTENE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46286</v>
      </c>
      <c r="F93" t="inlineStr">
        <is>
          <t>VÄSTRA GÖTALANDS LÄN</t>
        </is>
      </c>
      <c r="G93" t="inlineStr">
        <is>
          <t>GÖTENE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46286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46286</v>
      </c>
      <c r="F95" t="inlineStr">
        <is>
          <t>VÄSTRA GÖTALANDS LÄN</t>
        </is>
      </c>
      <c r="G95" t="inlineStr">
        <is>
          <t>GÖTENE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46286</v>
      </c>
      <c r="F96" t="inlineStr">
        <is>
          <t>VÄSTRA GÖTALANDS LÄN</t>
        </is>
      </c>
      <c r="G96" t="inlineStr">
        <is>
          <t>GÖTENE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46286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44931</v>
      </c>
      <c r="E98" s="1" t="n">
        <v>46286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46286</v>
      </c>
      <c r="F99" t="inlineStr">
        <is>
          <t>VÄSTRA GÖTALANDS LÄN</t>
        </is>
      </c>
      <c r="G99" t="inlineStr">
        <is>
          <t>GÖTENE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46286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46286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46286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45623</v>
      </c>
      <c r="E103" s="1" t="n">
        <v>46286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46286</v>
      </c>
      <c r="F104" t="inlineStr">
        <is>
          <t>VÄSTRA GÖTALANDS LÄN</t>
        </is>
      </c>
      <c r="G104" t="inlineStr">
        <is>
          <t>GÖTENE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46286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46286</v>
      </c>
      <c r="F106" t="inlineStr">
        <is>
          <t>VÄSTRA GÖTALANDS LÄN</t>
        </is>
      </c>
      <c r="G106" t="inlineStr">
        <is>
          <t>GÖTENE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21376-2026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46147</v>
      </c>
      <c r="E107" s="1" t="n">
        <v>46286</v>
      </c>
      <c r="F107" t="inlineStr">
        <is>
          <t>VÄSTRA GÖTALANDS LÄN</t>
        </is>
      </c>
      <c r="G107" t="inlineStr">
        <is>
          <t>GÖTENE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46286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Kyrkan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46286</v>
      </c>
      <c r="F109" t="inlineStr">
        <is>
          <t>VÄSTRA GÖTALANDS LÄN</t>
        </is>
      </c>
      <c r="G109" t="inlineStr">
        <is>
          <t>GÖTENE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46286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46286</v>
      </c>
      <c r="F111" t="inlineStr">
        <is>
          <t>VÄSTRA GÖTALANDS LÄN</t>
        </is>
      </c>
      <c r="G111" t="inlineStr">
        <is>
          <t>GÖTENE</t>
        </is>
      </c>
      <c r="H111" t="inlineStr">
        <is>
          <t>Övriga Aktiebolag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46286</v>
      </c>
      <c r="F112" t="inlineStr">
        <is>
          <t>VÄSTRA GÖTALANDS LÄN</t>
        </is>
      </c>
      <c r="G112" t="inlineStr">
        <is>
          <t>GÖTENE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46286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46286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46286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46286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46286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46286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46286</v>
      </c>
      <c r="F119" t="inlineStr">
        <is>
          <t>VÄSTRA GÖTALANDS LÄN</t>
        </is>
      </c>
      <c r="G119" t="inlineStr">
        <is>
          <t>GÖTENE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46286</v>
      </c>
      <c r="F120" t="inlineStr">
        <is>
          <t>VÄSTRA GÖTALANDS LÄN</t>
        </is>
      </c>
      <c r="G120" t="inlineStr">
        <is>
          <t>GÖTENE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46286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46286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46286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46286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46286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46286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46286</v>
      </c>
      <c r="F127" t="inlineStr">
        <is>
          <t>VÄSTRA GÖTALANDS LÄN</t>
        </is>
      </c>
      <c r="G127" t="inlineStr">
        <is>
          <t>GÖTENE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46286</v>
      </c>
      <c r="F128" t="inlineStr">
        <is>
          <t>VÄSTRA GÖTALANDS LÄN</t>
        </is>
      </c>
      <c r="G128" t="inlineStr">
        <is>
          <t>GÖTENE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46286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46286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46286</v>
      </c>
      <c r="F131" t="inlineStr">
        <is>
          <t>VÄSTRA GÖTALANDS LÄN</t>
        </is>
      </c>
      <c r="G131" t="inlineStr">
        <is>
          <t>GÖTENE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46286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46286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46286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44638</v>
      </c>
      <c r="E135" s="1" t="n">
        <v>46286</v>
      </c>
      <c r="F135" t="inlineStr">
        <is>
          <t>VÄSTRA GÖTALANDS LÄN</t>
        </is>
      </c>
      <c r="G135" t="inlineStr">
        <is>
          <t>GÖTENE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46286</v>
      </c>
      <c r="F136" t="inlineStr">
        <is>
          <t>VÄSTRA GÖTALANDS LÄN</t>
        </is>
      </c>
      <c r="G136" t="inlineStr">
        <is>
          <t>GÖTENE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46286</v>
      </c>
      <c r="F137" t="inlineStr">
        <is>
          <t>VÄSTRA GÖTALANDS LÄN</t>
        </is>
      </c>
      <c r="G137" t="inlineStr">
        <is>
          <t>GÖTENE</t>
        </is>
      </c>
      <c r="I137" t="n">
        <v>19.7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46286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46286</v>
      </c>
      <c r="F139" t="inlineStr">
        <is>
          <t>VÄSTRA GÖTALANDS LÄN</t>
        </is>
      </c>
      <c r="G139" t="inlineStr">
        <is>
          <t>GÖTENE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46286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Övriga Aktiebolag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46286</v>
      </c>
      <c r="F141" t="inlineStr">
        <is>
          <t>VÄSTRA GÖTALANDS LÄN</t>
        </is>
      </c>
      <c r="G141" t="inlineStr">
        <is>
          <t>GÖTENE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46286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46286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25777-2026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46178</v>
      </c>
      <c r="E144" s="1" t="n">
        <v>46286</v>
      </c>
      <c r="F144" t="inlineStr">
        <is>
          <t>VÄSTRA GÖTALANDS LÄN</t>
        </is>
      </c>
      <c r="G144" t="inlineStr">
        <is>
          <t>GÖTENE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46286</v>
      </c>
      <c r="F145" t="inlineStr">
        <is>
          <t>VÄSTRA GÖTALANDS LÄN</t>
        </is>
      </c>
      <c r="G145" t="inlineStr">
        <is>
          <t>GÖTENE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46286</v>
      </c>
      <c r="F146" t="inlineStr">
        <is>
          <t>VÄSTRA GÖTALANDS LÄN</t>
        </is>
      </c>
      <c r="G146" t="inlineStr">
        <is>
          <t>GÖTENE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46182</v>
      </c>
      <c r="E147" s="1" t="n">
        <v>46286</v>
      </c>
      <c r="F147" t="inlineStr">
        <is>
          <t>VÄSTRA GÖTALANDS LÄN</t>
        </is>
      </c>
      <c r="G147" t="inlineStr">
        <is>
          <t>GÖTENE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45152</v>
      </c>
      <c r="E148" s="1" t="n">
        <v>46286</v>
      </c>
      <c r="F148" t="inlineStr">
        <is>
          <t>VÄSTRA GÖTALANDS LÄN</t>
        </is>
      </c>
      <c r="G148" t="inlineStr">
        <is>
          <t>GÖTENE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46286</v>
      </c>
      <c r="F149" t="inlineStr">
        <is>
          <t>VÄSTRA GÖTALANDS LÄN</t>
        </is>
      </c>
      <c r="G149" t="inlineStr">
        <is>
          <t>GÖTENE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46286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44970</v>
      </c>
      <c r="E151" s="1" t="n">
        <v>46286</v>
      </c>
      <c r="F151" t="inlineStr">
        <is>
          <t>VÄSTRA GÖTALANDS LÄN</t>
        </is>
      </c>
      <c r="G151" t="inlineStr">
        <is>
          <t>GÖTENE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46286</v>
      </c>
      <c r="F152" t="inlineStr">
        <is>
          <t>VÄSTRA GÖTALANDS LÄN</t>
        </is>
      </c>
      <c r="G152" t="inlineStr">
        <is>
          <t>GÖTENE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46286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46286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46286</v>
      </c>
      <c r="F155" t="inlineStr">
        <is>
          <t>VÄSTRA GÖTALANDS LÄN</t>
        </is>
      </c>
      <c r="G155" t="inlineStr">
        <is>
          <t>GÖTENE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46286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46286</v>
      </c>
      <c r="F157" t="inlineStr">
        <is>
          <t>VÄSTRA GÖTALANDS LÄN</t>
        </is>
      </c>
      <c r="G157" t="inlineStr">
        <is>
          <t>GÖTENE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46286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46286</v>
      </c>
      <c r="F159" t="inlineStr">
        <is>
          <t>VÄSTRA GÖTALANDS LÄN</t>
        </is>
      </c>
      <c r="G159" t="inlineStr">
        <is>
          <t>GÖTENE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46286</v>
      </c>
      <c r="F160" t="inlineStr">
        <is>
          <t>VÄSTRA GÖTALANDS LÄN</t>
        </is>
      </c>
      <c r="G160" t="inlineStr">
        <is>
          <t>GÖTENE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46286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46286</v>
      </c>
      <c r="F162" t="inlineStr">
        <is>
          <t>VÄSTRA GÖTALANDS LÄN</t>
        </is>
      </c>
      <c r="G162" t="inlineStr">
        <is>
          <t>GÖTENE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46286</v>
      </c>
      <c r="F163" t="inlineStr">
        <is>
          <t>VÄSTRA GÖTALANDS LÄN</t>
        </is>
      </c>
      <c r="G163" t="inlineStr">
        <is>
          <t>GÖTENE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46286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46286</v>
      </c>
      <c r="F165" t="inlineStr">
        <is>
          <t>VÄSTRA GÖTALANDS LÄN</t>
        </is>
      </c>
      <c r="G165" t="inlineStr">
        <is>
          <t>GÖTENE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45386</v>
      </c>
      <c r="E166" s="1" t="n">
        <v>46286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46286</v>
      </c>
      <c r="F167" t="inlineStr">
        <is>
          <t>VÄSTRA GÖTALANDS LÄN</t>
        </is>
      </c>
      <c r="G167" t="inlineStr">
        <is>
          <t>GÖTENE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46286</v>
      </c>
      <c r="F168" t="inlineStr">
        <is>
          <t>VÄSTRA GÖTALANDS LÄN</t>
        </is>
      </c>
      <c r="G168" t="inlineStr">
        <is>
          <t>GÖTENE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46286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46286</v>
      </c>
      <c r="F170" t="inlineStr">
        <is>
          <t>VÄSTRA GÖTALANDS LÄN</t>
        </is>
      </c>
      <c r="G170" t="inlineStr">
        <is>
          <t>GÖTENE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46286</v>
      </c>
      <c r="F171" t="inlineStr">
        <is>
          <t>VÄSTRA GÖTALANDS LÄN</t>
        </is>
      </c>
      <c r="G171" t="inlineStr">
        <is>
          <t>GÖTENE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46286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46286</v>
      </c>
      <c r="F173" t="inlineStr">
        <is>
          <t>VÄSTRA GÖTALANDS LÄN</t>
        </is>
      </c>
      <c r="G173" t="inlineStr">
        <is>
          <t>GÖTENE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46286</v>
      </c>
      <c r="F174" t="inlineStr">
        <is>
          <t>VÄSTRA GÖTALANDS LÄN</t>
        </is>
      </c>
      <c r="G174" t="inlineStr">
        <is>
          <t>GÖTENE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46286</v>
      </c>
      <c r="F175" t="inlineStr">
        <is>
          <t>VÄSTRA GÖTALANDS LÄN</t>
        </is>
      </c>
      <c r="G175" t="inlineStr">
        <is>
          <t>GÖTENE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46286</v>
      </c>
      <c r="F176" t="inlineStr">
        <is>
          <t>VÄSTRA GÖTALANDS LÄN</t>
        </is>
      </c>
      <c r="G176" t="inlineStr">
        <is>
          <t>GÖTENE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45634</v>
      </c>
      <c r="E177" s="1" t="n">
        <v>46286</v>
      </c>
      <c r="F177" t="inlineStr">
        <is>
          <t>VÄSTRA GÖTALANDS LÄN</t>
        </is>
      </c>
      <c r="G177" t="inlineStr">
        <is>
          <t>GÖTENE</t>
        </is>
      </c>
      <c r="H177" t="inlineStr">
        <is>
          <t>Kommuner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46286</v>
      </c>
      <c r="F178" t="inlineStr">
        <is>
          <t>VÄSTRA GÖTALANDS LÄN</t>
        </is>
      </c>
      <c r="G178" t="inlineStr">
        <is>
          <t>GÖTENE</t>
        </is>
      </c>
      <c r="H178" t="inlineStr">
        <is>
          <t>Sveaskog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46286</v>
      </c>
      <c r="F179" t="inlineStr">
        <is>
          <t>VÄSTRA GÖTALANDS LÄN</t>
        </is>
      </c>
      <c r="G179" t="inlineStr">
        <is>
          <t>GÖTENE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46286</v>
      </c>
      <c r="F180" t="inlineStr">
        <is>
          <t>VÄSTRA GÖTALANDS LÄN</t>
        </is>
      </c>
      <c r="G180" t="inlineStr">
        <is>
          <t>GÖTENE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46286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46286</v>
      </c>
      <c r="F182" t="inlineStr">
        <is>
          <t>VÄSTRA GÖTALANDS LÄN</t>
        </is>
      </c>
      <c r="G182" t="inlineStr">
        <is>
          <t>GÖTENE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46286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46286</v>
      </c>
      <c r="F184" t="inlineStr">
        <is>
          <t>VÄSTRA GÖTALANDS LÄN</t>
        </is>
      </c>
      <c r="G184" t="inlineStr">
        <is>
          <t>GÖTENE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46286</v>
      </c>
      <c r="F185" t="inlineStr">
        <is>
          <t>VÄSTRA GÖTALANDS LÄN</t>
        </is>
      </c>
      <c r="G185" t="inlineStr">
        <is>
          <t>GÖTENE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44931</v>
      </c>
      <c r="E186" s="1" t="n">
        <v>46286</v>
      </c>
      <c r="F186" t="inlineStr">
        <is>
          <t>VÄSTRA GÖTALANDS LÄN</t>
        </is>
      </c>
      <c r="G186" t="inlineStr">
        <is>
          <t>GÖTENE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46286</v>
      </c>
      <c r="F187" t="inlineStr">
        <is>
          <t>VÄSTRA GÖTALANDS LÄN</t>
        </is>
      </c>
      <c r="G187" t="inlineStr">
        <is>
          <t>GÖTENE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46286</v>
      </c>
      <c r="F188" t="inlineStr">
        <is>
          <t>VÄSTRA GÖTALANDS LÄN</t>
        </is>
      </c>
      <c r="G188" t="inlineStr">
        <is>
          <t>GÖTENE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46219</v>
      </c>
      <c r="E189" s="1" t="n">
        <v>46286</v>
      </c>
      <c r="F189" t="inlineStr">
        <is>
          <t>VÄSTRA GÖTALANDS LÄN</t>
        </is>
      </c>
      <c r="G189" t="inlineStr">
        <is>
          <t>GÖTENE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44547</v>
      </c>
      <c r="E190" s="1" t="n">
        <v>46286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46286</v>
      </c>
      <c r="F191" t="inlineStr">
        <is>
          <t>VÄSTRA GÖTALANDS LÄN</t>
        </is>
      </c>
      <c r="G191" t="inlineStr">
        <is>
          <t>GÖTENE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46286</v>
      </c>
      <c r="F192" t="inlineStr">
        <is>
          <t>VÄSTRA GÖTALANDS LÄN</t>
        </is>
      </c>
      <c r="G192" t="inlineStr">
        <is>
          <t>GÖTENE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46286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46219</v>
      </c>
      <c r="E194" s="1" t="n">
        <v>46286</v>
      </c>
      <c r="F194" t="inlineStr">
        <is>
          <t>VÄSTRA GÖTALANDS LÄN</t>
        </is>
      </c>
      <c r="G194" t="inlineStr">
        <is>
          <t>GÖTENE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46266</v>
      </c>
      <c r="E195" s="1" t="n">
        <v>46286</v>
      </c>
      <c r="F195" t="inlineStr">
        <is>
          <t>VÄSTRA GÖTALANDS LÄN</t>
        </is>
      </c>
      <c r="G195" t="inlineStr">
        <is>
          <t>GÖTENE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46266</v>
      </c>
      <c r="E196" s="1" t="n">
        <v>46286</v>
      </c>
      <c r="F196" t="inlineStr">
        <is>
          <t>VÄSTRA GÖTALANDS LÄN</t>
        </is>
      </c>
      <c r="G196" t="inlineStr">
        <is>
          <t>GÖTENE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46286</v>
      </c>
      <c r="F197" t="inlineStr">
        <is>
          <t>VÄSTRA GÖTALANDS LÄN</t>
        </is>
      </c>
      <c r="G197" t="inlineStr">
        <is>
          <t>GÖTENE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45477</v>
      </c>
      <c r="E198" s="1" t="n">
        <v>46286</v>
      </c>
      <c r="F198" t="inlineStr">
        <is>
          <t>VÄSTRA GÖTALANDS LÄN</t>
        </is>
      </c>
      <c r="G198" t="inlineStr">
        <is>
          <t>GÖTENE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46286</v>
      </c>
      <c r="F199" t="inlineStr">
        <is>
          <t>VÄSTRA GÖTALANDS LÄN</t>
        </is>
      </c>
      <c r="G199" t="inlineStr">
        <is>
          <t>GÖTENE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46237</v>
      </c>
      <c r="E200" s="1" t="n">
        <v>46286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45440</v>
      </c>
      <c r="E201" s="1" t="n">
        <v>46286</v>
      </c>
      <c r="F201" t="inlineStr">
        <is>
          <t>VÄSTRA GÖTALANDS LÄN</t>
        </is>
      </c>
      <c r="G201" t="inlineStr">
        <is>
          <t>GÖTENE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45000</v>
      </c>
      <c r="E202" s="1" t="n">
        <v>46286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46238</v>
      </c>
      <c r="E203" s="1" t="n">
        <v>46286</v>
      </c>
      <c r="F203" t="inlineStr">
        <is>
          <t>VÄSTRA GÖTALANDS LÄN</t>
        </is>
      </c>
      <c r="G203" t="inlineStr">
        <is>
          <t>GÖTENE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16341-2025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45751</v>
      </c>
      <c r="E204" s="1" t="n">
        <v>46286</v>
      </c>
      <c r="F204" t="inlineStr">
        <is>
          <t>VÄSTRA GÖTALANDS LÄN</t>
        </is>
      </c>
      <c r="G204" t="inlineStr">
        <is>
          <t>GÖTENE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46238</v>
      </c>
      <c r="E205" s="1" t="n">
        <v>46286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46286</v>
      </c>
      <c r="F206" t="inlineStr">
        <is>
          <t>VÄSTRA GÖTALANDS LÄN</t>
        </is>
      </c>
      <c r="G206" t="inlineStr">
        <is>
          <t>GÖTENE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46286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46286</v>
      </c>
      <c r="F208" t="inlineStr">
        <is>
          <t>VÄSTRA GÖTALANDS LÄN</t>
        </is>
      </c>
      <c r="G208" t="inlineStr">
        <is>
          <t>GÖTENE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46286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26105-2025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45805</v>
      </c>
      <c r="E210" s="1" t="n">
        <v>46286</v>
      </c>
      <c r="F210" t="inlineStr">
        <is>
          <t>VÄSTRA GÖTALANDS LÄN</t>
        </is>
      </c>
      <c r="G210" t="inlineStr">
        <is>
          <t>GÖTENE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46286</v>
      </c>
      <c r="F211" t="inlineStr">
        <is>
          <t>VÄSTRA GÖTALANDS LÄN</t>
        </is>
      </c>
      <c r="G211" t="inlineStr">
        <is>
          <t>GÖTENE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46286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Övriga Aktiebolag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46286</v>
      </c>
      <c r="F213" t="inlineStr">
        <is>
          <t>VÄSTRA GÖTALANDS LÄN</t>
        </is>
      </c>
      <c r="G213" t="inlineStr">
        <is>
          <t>GÖTENE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46286</v>
      </c>
      <c r="F214" t="inlineStr">
        <is>
          <t>VÄSTRA GÖTALANDS LÄN</t>
        </is>
      </c>
      <c r="G214" t="inlineStr">
        <is>
          <t>GÖTENE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46286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46286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46286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46286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46286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46286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46286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2026-09-21T02:00:04Z</dcterms:created>
  <dcterms:modified xmlns:dcterms="http://purl.org/dc/terms/" xmlns:xsi="http://www.w3.org/2001/XMLSchema-instance" xsi:type="dcterms:W3CDTF">2026-09-21T02:00:04Z</dcterms:modified>
</cp:coreProperties>
</file>