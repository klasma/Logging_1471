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46230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46230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46230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46230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46230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46230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46230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46230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46230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46230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46230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46230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46230</v>
      </c>
      <c r="F18" t="inlineStr">
        <is>
          <t>VÄSTRA GÖTALANDS LÄN</t>
        </is>
      </c>
      <c r="G18" t="inlineStr">
        <is>
          <t>GÖTENE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1895-2026 artfynd.xlsx", "A 1895-2026")</f>
        <v/>
      </c>
      <c r="X18">
        <f>HYPERLINK("https://klasma.github.io/Logging_1471/kartor/A 1895-2026 karta.png", "A 1895-2026")</f>
        <v/>
      </c>
      <c r="Y18">
        <f>HYPERLINK("https://klasma.github.io/Logging_1471/kartor_geotiff/A 1895-2026 georefererad karta.tif", "A 1895-2026")</f>
        <v/>
      </c>
      <c r="AA18">
        <f>HYPERLINK("https://klasma.github.io/Logging_1471/klagomål/A 1895-2026 FSC-klagomål.docx", "A 1895-2026")</f>
        <v/>
      </c>
      <c r="AB18">
        <f>HYPERLINK("https://klasma.github.io/Logging_1471/klagomålsmail/A 1895-2026 FSC-klagomål mail.docx", "A 1895-2026")</f>
        <v/>
      </c>
      <c r="AC18">
        <f>HYPERLINK("https://klasma.github.io/Logging_1471/tillsyn/A 1895-2026 tillsynsbegäran.docx", "A 1895-2026")</f>
        <v/>
      </c>
      <c r="AD18">
        <f>HYPERLINK("https://klasma.github.io/Logging_1471/tillsynsmail/A 1895-2026 tillsynsbegäran mail.docx", "A 1895-2026")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46230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46230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46230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46230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28273-2023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46230</v>
      </c>
      <c r="F23" t="inlineStr">
        <is>
          <t>VÄSTRA GÖTALANDS LÄN</t>
        </is>
      </c>
      <c r="G23" t="inlineStr">
        <is>
          <t>GÖTENE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Åkergroda</t>
        </is>
      </c>
      <c r="W23">
        <f>HYPERLINK("https://klasma.github.io/Logging_1471/artfynd/A 28273-2023 artfynd.xlsx", "A 28273-2023")</f>
        <v/>
      </c>
      <c r="X23">
        <f>HYPERLINK("https://klasma.github.io/Logging_1471/kartor/A 28273-2023 karta.png", "A 28273-2023")</f>
        <v/>
      </c>
      <c r="Y23">
        <f>HYPERLINK("https://klasma.github.io/Logging_1471/kartor_geotiff/A 28273-2023 georefererad karta.tif", "A 28273-2023")</f>
        <v/>
      </c>
      <c r="AA23">
        <f>HYPERLINK("https://klasma.github.io/Logging_1471/klagomål/A 28273-2023 FSC-klagomål.docx", "A 28273-2023")</f>
        <v/>
      </c>
      <c r="AB23">
        <f>HYPERLINK("https://klasma.github.io/Logging_1471/klagomålsmail/A 28273-2023 FSC-klagomål mail.docx", "A 28273-2023")</f>
        <v/>
      </c>
      <c r="AC23">
        <f>HYPERLINK("https://klasma.github.io/Logging_1471/tillsyn/A 28273-2023 tillsynsbegäran.docx", "A 28273-2023")</f>
        <v/>
      </c>
      <c r="AD23">
        <f>HYPERLINK("https://klasma.github.io/Logging_1471/tillsynsmail/A 28273-2023 tillsynsbegäran mail.docx", "A 28273-2023")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46230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46230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46230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46230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46230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46230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46230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46230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46230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46230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46230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46230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46230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46230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46230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46230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46230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46230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46230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46230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46230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46230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46230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46230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46230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46230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46230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46230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46230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46230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46230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46230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46230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46230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46230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46230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46230</v>
      </c>
      <c r="F62" t="inlineStr">
        <is>
          <t>VÄSTRA GÖTALANDS LÄN</t>
        </is>
      </c>
      <c r="G62" t="inlineStr">
        <is>
          <t>GÖTENE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46230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46230</v>
      </c>
      <c r="F64" t="inlineStr">
        <is>
          <t>VÄSTRA GÖTALANDS LÄN</t>
        </is>
      </c>
      <c r="G64" t="inlineStr">
        <is>
          <t>GÖTENE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46230</v>
      </c>
      <c r="F65" t="inlineStr">
        <is>
          <t>VÄSTRA GÖTALANDS LÄN</t>
        </is>
      </c>
      <c r="G65" t="inlineStr">
        <is>
          <t>GÖTENE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46230</v>
      </c>
      <c r="F66" t="inlineStr">
        <is>
          <t>VÄSTRA GÖTALANDS LÄN</t>
        </is>
      </c>
      <c r="G66" t="inlineStr">
        <is>
          <t>GÖTENE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46230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45376</v>
      </c>
      <c r="E68" s="1" t="n">
        <v>46230</v>
      </c>
      <c r="F68" t="inlineStr">
        <is>
          <t>VÄSTRA GÖTALANDS LÄN</t>
        </is>
      </c>
      <c r="G68" t="inlineStr">
        <is>
          <t>GÖTENE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46230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46230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44676</v>
      </c>
      <c r="E71" s="1" t="n">
        <v>46230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61021-2022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44914</v>
      </c>
      <c r="E72" s="1" t="n">
        <v>46230</v>
      </c>
      <c r="F72" t="inlineStr">
        <is>
          <t>VÄSTRA GÖTALANDS LÄN</t>
        </is>
      </c>
      <c r="G72" t="inlineStr">
        <is>
          <t>GÖTENE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46230</v>
      </c>
      <c r="F73" t="inlineStr">
        <is>
          <t>VÄSTRA GÖTALANDS LÄN</t>
        </is>
      </c>
      <c r="G73" t="inlineStr">
        <is>
          <t>GÖTENE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35202-2024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45530</v>
      </c>
      <c r="E74" s="1" t="n">
        <v>46230</v>
      </c>
      <c r="F74" t="inlineStr">
        <is>
          <t>VÄSTRA GÖTALANDS LÄN</t>
        </is>
      </c>
      <c r="G74" t="inlineStr">
        <is>
          <t>GÖTENE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46230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46230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45034</v>
      </c>
      <c r="E77" s="1" t="n">
        <v>46230</v>
      </c>
      <c r="F77" t="inlineStr">
        <is>
          <t>VÄSTRA GÖTALANDS LÄN</t>
        </is>
      </c>
      <c r="G77" t="inlineStr">
        <is>
          <t>GÖTENE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46230</v>
      </c>
      <c r="F78" t="inlineStr">
        <is>
          <t>VÄSTRA GÖTALANDS LÄN</t>
        </is>
      </c>
      <c r="G78" t="inlineStr">
        <is>
          <t>GÖTENE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46230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46230</v>
      </c>
      <c r="F80" t="inlineStr">
        <is>
          <t>VÄSTRA GÖTALANDS LÄN</t>
        </is>
      </c>
      <c r="G80" t="inlineStr">
        <is>
          <t>GÖTENE</t>
        </is>
      </c>
      <c r="I80" t="n">
        <v>14.7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45012</v>
      </c>
      <c r="E81" s="1" t="n">
        <v>46230</v>
      </c>
      <c r="F81" t="inlineStr">
        <is>
          <t>VÄSTRA GÖTALANDS LÄN</t>
        </is>
      </c>
      <c r="G81" t="inlineStr">
        <is>
          <t>GÖTENE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46230</v>
      </c>
      <c r="F82" t="inlineStr">
        <is>
          <t>VÄSTRA GÖTALANDS LÄN</t>
        </is>
      </c>
      <c r="G82" t="inlineStr">
        <is>
          <t>GÖTENE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44645</v>
      </c>
      <c r="E83" s="1" t="n">
        <v>46230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46230</v>
      </c>
      <c r="F84" t="inlineStr">
        <is>
          <t>VÄSTRA GÖTALANDS LÄN</t>
        </is>
      </c>
      <c r="G84" t="inlineStr">
        <is>
          <t>GÖTENE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45021</v>
      </c>
      <c r="E85" s="1" t="n">
        <v>46230</v>
      </c>
      <c r="F85" t="inlineStr">
        <is>
          <t>VÄSTRA GÖTALANDS LÄN</t>
        </is>
      </c>
      <c r="G85" t="inlineStr">
        <is>
          <t>GÖTENE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46230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Sveaskog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46230</v>
      </c>
      <c r="F87" t="inlineStr">
        <is>
          <t>VÄSTRA GÖTALANDS LÄN</t>
        </is>
      </c>
      <c r="G87" t="inlineStr">
        <is>
          <t>GÖTENE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45361</v>
      </c>
      <c r="E88" s="1" t="n">
        <v>46230</v>
      </c>
      <c r="F88" t="inlineStr">
        <is>
          <t>VÄSTRA GÖTALANDS LÄN</t>
        </is>
      </c>
      <c r="G88" t="inlineStr">
        <is>
          <t>GÖTENE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46230</v>
      </c>
      <c r="F89" t="inlineStr">
        <is>
          <t>VÄSTRA GÖTALANDS LÄN</t>
        </is>
      </c>
      <c r="G89" t="inlineStr">
        <is>
          <t>GÖTENE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46230</v>
      </c>
      <c r="F90" t="inlineStr">
        <is>
          <t>VÄSTRA GÖTALANDS LÄN</t>
        </is>
      </c>
      <c r="G90" t="inlineStr">
        <is>
          <t>GÖTENE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46230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30174-2022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46230</v>
      </c>
      <c r="F92" t="inlineStr">
        <is>
          <t>VÄSTRA GÖTALANDS LÄN</t>
        </is>
      </c>
      <c r="G92" t="inlineStr">
        <is>
          <t>GÖTENE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46230</v>
      </c>
      <c r="F93" t="inlineStr">
        <is>
          <t>VÄSTRA GÖTALANDS LÄN</t>
        </is>
      </c>
      <c r="G93" t="inlineStr">
        <is>
          <t>GÖTENE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46230</v>
      </c>
      <c r="F94" t="inlineStr">
        <is>
          <t>VÄSTRA GÖTALANDS LÄN</t>
        </is>
      </c>
      <c r="G94" t="inlineStr">
        <is>
          <t>GÖTENE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46230</v>
      </c>
      <c r="F95" t="inlineStr">
        <is>
          <t>VÄSTRA GÖTALANDS LÄN</t>
        </is>
      </c>
      <c r="G95" t="inlineStr">
        <is>
          <t>GÖTENE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45366</v>
      </c>
      <c r="E96" s="1" t="n">
        <v>46230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44405</v>
      </c>
      <c r="E97" s="1" t="n">
        <v>46230</v>
      </c>
      <c r="F97" t="inlineStr">
        <is>
          <t>VÄSTRA GÖTALANDS LÄN</t>
        </is>
      </c>
      <c r="G97" t="inlineStr">
        <is>
          <t>GÖTENE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46230</v>
      </c>
      <c r="F98" t="inlineStr">
        <is>
          <t>VÄSTRA GÖTALANDS LÄN</t>
        </is>
      </c>
      <c r="G98" t="inlineStr">
        <is>
          <t>GÖTENE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45000</v>
      </c>
      <c r="E99" s="1" t="n">
        <v>46230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46230</v>
      </c>
      <c r="F100" t="inlineStr">
        <is>
          <t>VÄSTRA GÖTALANDS LÄN</t>
        </is>
      </c>
      <c r="G100" t="inlineStr">
        <is>
          <t>GÖTENE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46230</v>
      </c>
      <c r="F101" t="inlineStr">
        <is>
          <t>VÄSTRA GÖTALANDS LÄN</t>
        </is>
      </c>
      <c r="G101" t="inlineStr">
        <is>
          <t>GÖTENE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46230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46230</v>
      </c>
      <c r="F103" t="inlineStr">
        <is>
          <t>VÄSTRA GÖTALANDS LÄN</t>
        </is>
      </c>
      <c r="G103" t="inlineStr">
        <is>
          <t>GÖTENE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46230</v>
      </c>
      <c r="F104" t="inlineStr">
        <is>
          <t>VÄSTRA GÖTALANDS LÄN</t>
        </is>
      </c>
      <c r="G104" t="inlineStr">
        <is>
          <t>GÖTENE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46230</v>
      </c>
      <c r="F105" t="inlineStr">
        <is>
          <t>VÄSTRA GÖTALANDS LÄN</t>
        </is>
      </c>
      <c r="G105" t="inlineStr">
        <is>
          <t>GÖTENE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46230</v>
      </c>
      <c r="F106" t="inlineStr">
        <is>
          <t>VÄSTRA GÖTALANDS LÄN</t>
        </is>
      </c>
      <c r="G106" t="inlineStr">
        <is>
          <t>GÖTENE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25594-2025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45803</v>
      </c>
      <c r="E107" s="1" t="n">
        <v>46230</v>
      </c>
      <c r="F107" t="inlineStr">
        <is>
          <t>VÄSTRA GÖTALANDS LÄN</t>
        </is>
      </c>
      <c r="G107" t="inlineStr">
        <is>
          <t>GÖTENE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46230</v>
      </c>
      <c r="F108" t="inlineStr">
        <is>
          <t>VÄSTRA GÖTALANDS LÄN</t>
        </is>
      </c>
      <c r="G108" t="inlineStr">
        <is>
          <t>GÖTENE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46230</v>
      </c>
      <c r="F109" t="inlineStr">
        <is>
          <t>VÄSTRA GÖTALANDS LÄN</t>
        </is>
      </c>
      <c r="G109" t="inlineStr">
        <is>
          <t>GÖTENE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46230</v>
      </c>
      <c r="F110" t="inlineStr">
        <is>
          <t>VÄSTRA GÖTALANDS LÄN</t>
        </is>
      </c>
      <c r="G110" t="inlineStr">
        <is>
          <t>GÖTENE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45518</v>
      </c>
      <c r="E111" s="1" t="n">
        <v>46230</v>
      </c>
      <c r="F111" t="inlineStr">
        <is>
          <t>VÄSTRA GÖTALANDS LÄN</t>
        </is>
      </c>
      <c r="G111" t="inlineStr">
        <is>
          <t>GÖTENE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46230</v>
      </c>
      <c r="F112" t="inlineStr">
        <is>
          <t>VÄSTRA GÖTALANDS LÄN</t>
        </is>
      </c>
      <c r="G112" t="inlineStr">
        <is>
          <t>GÖTENE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46230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46230</v>
      </c>
      <c r="F114" t="inlineStr">
        <is>
          <t>VÄSTRA GÖTALANDS LÄN</t>
        </is>
      </c>
      <c r="G114" t="inlineStr">
        <is>
          <t>GÖTENE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44931</v>
      </c>
      <c r="E115" s="1" t="n">
        <v>46230</v>
      </c>
      <c r="F115" t="inlineStr">
        <is>
          <t>VÄSTRA GÖTALANDS LÄN</t>
        </is>
      </c>
      <c r="G115" t="inlineStr">
        <is>
          <t>GÖTENE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46230</v>
      </c>
      <c r="F116" t="inlineStr">
        <is>
          <t>VÄSTRA GÖTALANDS LÄN</t>
        </is>
      </c>
      <c r="G116" t="inlineStr">
        <is>
          <t>GÖTENE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46230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46147</v>
      </c>
      <c r="E118" s="1" t="n">
        <v>46230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46230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45051</v>
      </c>
      <c r="E120" s="1" t="n">
        <v>46230</v>
      </c>
      <c r="F120" t="inlineStr">
        <is>
          <t>VÄSTRA GÖTALANDS LÄN</t>
        </is>
      </c>
      <c r="G120" t="inlineStr">
        <is>
          <t>GÖTENE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21376-2026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46147</v>
      </c>
      <c r="E121" s="1" t="n">
        <v>46230</v>
      </c>
      <c r="F121" t="inlineStr">
        <is>
          <t>VÄSTRA GÖTALANDS LÄN</t>
        </is>
      </c>
      <c r="G121" t="inlineStr">
        <is>
          <t>GÖTENE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44614</v>
      </c>
      <c r="E122" s="1" t="n">
        <v>46230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46230</v>
      </c>
      <c r="F123" t="inlineStr">
        <is>
          <t>VÄSTRA GÖTALANDS LÄN</t>
        </is>
      </c>
      <c r="G123" t="inlineStr">
        <is>
          <t>GÖTENE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44924</v>
      </c>
      <c r="E124" s="1" t="n">
        <v>46230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Övriga Aktiebolag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46230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46230</v>
      </c>
      <c r="F126" t="inlineStr">
        <is>
          <t>VÄSTRA GÖTALANDS LÄN</t>
        </is>
      </c>
      <c r="G126" t="inlineStr">
        <is>
          <t>GÖTENE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46230</v>
      </c>
      <c r="F127" t="inlineStr">
        <is>
          <t>VÄSTRA GÖTALANDS LÄN</t>
        </is>
      </c>
      <c r="G127" t="inlineStr">
        <is>
          <t>GÖTENE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46230</v>
      </c>
      <c r="F128" t="inlineStr">
        <is>
          <t>VÄSTRA GÖTALANDS LÄN</t>
        </is>
      </c>
      <c r="G128" t="inlineStr">
        <is>
          <t>GÖTENE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46230</v>
      </c>
      <c r="F129" t="inlineStr">
        <is>
          <t>VÄSTRA GÖTALANDS LÄN</t>
        </is>
      </c>
      <c r="G129" t="inlineStr">
        <is>
          <t>GÖTENE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46230</v>
      </c>
      <c r="F130" t="inlineStr">
        <is>
          <t>VÄSTRA GÖTALANDS LÄN</t>
        </is>
      </c>
      <c r="G130" t="inlineStr">
        <is>
          <t>GÖTENE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46230</v>
      </c>
      <c r="F131" t="inlineStr">
        <is>
          <t>VÄSTRA GÖTALANDS LÄN</t>
        </is>
      </c>
      <c r="G131" t="inlineStr">
        <is>
          <t>GÖTENE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46230</v>
      </c>
      <c r="F132" t="inlineStr">
        <is>
          <t>VÄSTRA GÖTALANDS LÄN</t>
        </is>
      </c>
      <c r="G132" t="inlineStr">
        <is>
          <t>GÖTENE</t>
        </is>
      </c>
      <c r="I132" t="n">
        <v>18.8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46230</v>
      </c>
      <c r="F133" t="inlineStr">
        <is>
          <t>VÄSTRA GÖTALANDS LÄN</t>
        </is>
      </c>
      <c r="G133" t="inlineStr">
        <is>
          <t>GÖTENE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46230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46230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46230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46230</v>
      </c>
      <c r="F137" t="inlineStr">
        <is>
          <t>VÄSTRA GÖTALANDS LÄN</t>
        </is>
      </c>
      <c r="G137" t="inlineStr">
        <is>
          <t>GÖTENE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45758</v>
      </c>
      <c r="E138" s="1" t="n">
        <v>46230</v>
      </c>
      <c r="F138" t="inlineStr">
        <is>
          <t>VÄSTRA GÖTALANDS LÄN</t>
        </is>
      </c>
      <c r="G138" t="inlineStr">
        <is>
          <t>GÖTENE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46230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46230</v>
      </c>
      <c r="F140" t="inlineStr">
        <is>
          <t>VÄSTRA GÖTALANDS LÄN</t>
        </is>
      </c>
      <c r="G140" t="inlineStr">
        <is>
          <t>GÖTENE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46230</v>
      </c>
      <c r="F141" t="inlineStr">
        <is>
          <t>VÄSTRA GÖTALANDS LÄN</t>
        </is>
      </c>
      <c r="G141" t="inlineStr">
        <is>
          <t>GÖTENE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46230</v>
      </c>
      <c r="F142" t="inlineStr">
        <is>
          <t>VÄSTRA GÖTALANDS LÄN</t>
        </is>
      </c>
      <c r="G142" t="inlineStr">
        <is>
          <t>GÖTENE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46198</v>
      </c>
      <c r="E143" s="1" t="n">
        <v>46230</v>
      </c>
      <c r="F143" t="inlineStr">
        <is>
          <t>VÄSTRA GÖTALANDS LÄN</t>
        </is>
      </c>
      <c r="G143" t="inlineStr">
        <is>
          <t>GÖTENE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44924</v>
      </c>
      <c r="E144" s="1" t="n">
        <v>46230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Övriga Aktiebolag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44628</v>
      </c>
      <c r="E145" s="1" t="n">
        <v>46230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46230</v>
      </c>
      <c r="F146" t="inlineStr">
        <is>
          <t>VÄSTRA GÖTALANDS LÄN</t>
        </is>
      </c>
      <c r="G146" t="inlineStr">
        <is>
          <t>GÖTENE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46230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46230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46230</v>
      </c>
      <c r="F149" t="inlineStr">
        <is>
          <t>VÄSTRA GÖTALANDS LÄN</t>
        </is>
      </c>
      <c r="G149" t="inlineStr">
        <is>
          <t>GÖTENE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46230</v>
      </c>
      <c r="F150" t="inlineStr">
        <is>
          <t>VÄSTRA GÖTALANDS LÄN</t>
        </is>
      </c>
      <c r="G150" t="inlineStr">
        <is>
          <t>GÖTENE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46230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46230</v>
      </c>
      <c r="F152" t="inlineStr">
        <is>
          <t>VÄSTRA GÖTALANDS LÄN</t>
        </is>
      </c>
      <c r="G152" t="inlineStr">
        <is>
          <t>GÖTENE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46230</v>
      </c>
      <c r="F153" t="inlineStr">
        <is>
          <t>VÄSTRA GÖTALANDS LÄN</t>
        </is>
      </c>
      <c r="G153" t="inlineStr">
        <is>
          <t>GÖTENE</t>
        </is>
      </c>
      <c r="H153" t="inlineStr">
        <is>
          <t>Övriga Aktiebolag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46230</v>
      </c>
      <c r="F154" t="inlineStr">
        <is>
          <t>VÄSTRA GÖTALANDS LÄN</t>
        </is>
      </c>
      <c r="G154" t="inlineStr">
        <is>
          <t>GÖTENE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46230</v>
      </c>
      <c r="F155" t="inlineStr">
        <is>
          <t>VÄSTRA GÖTALANDS LÄN</t>
        </is>
      </c>
      <c r="G155" t="inlineStr">
        <is>
          <t>GÖTENE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44638</v>
      </c>
      <c r="E156" s="1" t="n">
        <v>46230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46230</v>
      </c>
      <c r="F157" t="inlineStr">
        <is>
          <t>VÄSTRA GÖTALANDS LÄN</t>
        </is>
      </c>
      <c r="G157" t="inlineStr">
        <is>
          <t>GÖTENE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46230</v>
      </c>
      <c r="F158" t="inlineStr">
        <is>
          <t>VÄSTRA GÖTALANDS LÄN</t>
        </is>
      </c>
      <c r="G158" t="inlineStr">
        <is>
          <t>GÖTENE</t>
        </is>
      </c>
      <c r="I158" t="n">
        <v>19.7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46230</v>
      </c>
      <c r="F159" t="inlineStr">
        <is>
          <t>VÄSTRA GÖTALANDS LÄN</t>
        </is>
      </c>
      <c r="G159" t="inlineStr">
        <is>
          <t>GÖTENE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46230</v>
      </c>
      <c r="F160" t="inlineStr">
        <is>
          <t>VÄSTRA GÖTALANDS LÄN</t>
        </is>
      </c>
      <c r="G160" t="inlineStr">
        <is>
          <t>GÖTENE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46230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46230</v>
      </c>
      <c r="F162" t="inlineStr">
        <is>
          <t>VÄSTRA GÖTALANDS LÄN</t>
        </is>
      </c>
      <c r="G162" t="inlineStr">
        <is>
          <t>GÖTENE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46078</v>
      </c>
      <c r="E163" s="1" t="n">
        <v>46230</v>
      </c>
      <c r="F163" t="inlineStr">
        <is>
          <t>VÄSTRA GÖTALANDS LÄN</t>
        </is>
      </c>
      <c r="G163" t="inlineStr">
        <is>
          <t>GÖTENE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46230</v>
      </c>
      <c r="F164" t="inlineStr">
        <is>
          <t>VÄSTRA GÖTALANDS LÄN</t>
        </is>
      </c>
      <c r="G164" t="inlineStr">
        <is>
          <t>GÖTENE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46230</v>
      </c>
      <c r="F165" t="inlineStr">
        <is>
          <t>VÄSTRA GÖTALANDS LÄN</t>
        </is>
      </c>
      <c r="G165" t="inlineStr">
        <is>
          <t>GÖTENE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46230</v>
      </c>
      <c r="F166" t="inlineStr">
        <is>
          <t>VÄSTRA GÖTALANDS LÄN</t>
        </is>
      </c>
      <c r="G166" t="inlineStr">
        <is>
          <t>GÖTENE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46230</v>
      </c>
      <c r="F167" t="inlineStr">
        <is>
          <t>VÄSTRA GÖTALANDS LÄN</t>
        </is>
      </c>
      <c r="G167" t="inlineStr">
        <is>
          <t>GÖTENE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46230</v>
      </c>
      <c r="F168" t="inlineStr">
        <is>
          <t>VÄSTRA GÖTALANDS LÄN</t>
        </is>
      </c>
      <c r="G168" t="inlineStr">
        <is>
          <t>GÖTENE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46230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46230</v>
      </c>
      <c r="F170" t="inlineStr">
        <is>
          <t>VÄSTRA GÖTALANDS LÄN</t>
        </is>
      </c>
      <c r="G170" t="inlineStr">
        <is>
          <t>GÖTENE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46230</v>
      </c>
      <c r="F171" t="inlineStr">
        <is>
          <t>VÄSTRA GÖTALANDS LÄN</t>
        </is>
      </c>
      <c r="G171" t="inlineStr">
        <is>
          <t>GÖTENE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46230</v>
      </c>
      <c r="F172" t="inlineStr">
        <is>
          <t>VÄSTRA GÖTALANDS LÄN</t>
        </is>
      </c>
      <c r="G172" t="inlineStr">
        <is>
          <t>GÖTENE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46230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46230</v>
      </c>
      <c r="F174" t="inlineStr">
        <is>
          <t>VÄSTRA GÖTALANDS LÄN</t>
        </is>
      </c>
      <c r="G174" t="inlineStr">
        <is>
          <t>GÖTENE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46230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46230</v>
      </c>
      <c r="F176" t="inlineStr">
        <is>
          <t>VÄSTRA GÖTALANDS LÄN</t>
        </is>
      </c>
      <c r="G176" t="inlineStr">
        <is>
          <t>GÖTENE</t>
        </is>
      </c>
      <c r="H176" t="inlineStr">
        <is>
          <t>Övriga Aktiebolag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46230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46230</v>
      </c>
      <c r="F178" t="inlineStr">
        <is>
          <t>VÄSTRA GÖTALANDS LÄN</t>
        </is>
      </c>
      <c r="G178" t="inlineStr">
        <is>
          <t>GÖTENE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44970</v>
      </c>
      <c r="E179" s="1" t="n">
        <v>46230</v>
      </c>
      <c r="F179" t="inlineStr">
        <is>
          <t>VÄSTRA GÖTALANDS LÄN</t>
        </is>
      </c>
      <c r="G179" t="inlineStr">
        <is>
          <t>GÖTENE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46230</v>
      </c>
      <c r="F180" t="inlineStr">
        <is>
          <t>VÄSTRA GÖTALANDS LÄN</t>
        </is>
      </c>
      <c r="G180" t="inlineStr">
        <is>
          <t>GÖTENE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45386</v>
      </c>
      <c r="E181" s="1" t="n">
        <v>46230</v>
      </c>
      <c r="F181" t="inlineStr">
        <is>
          <t>VÄSTRA GÖTALANDS LÄN</t>
        </is>
      </c>
      <c r="G181" t="inlineStr">
        <is>
          <t>GÖTENE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46219</v>
      </c>
      <c r="E182" s="1" t="n">
        <v>46230</v>
      </c>
      <c r="F182" t="inlineStr">
        <is>
          <t>VÄSTRA GÖTALANDS LÄN</t>
        </is>
      </c>
      <c r="G182" t="inlineStr">
        <is>
          <t>GÖTENE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46230</v>
      </c>
      <c r="F183" t="inlineStr">
        <is>
          <t>VÄSTRA GÖTALANDS LÄN</t>
        </is>
      </c>
      <c r="G183" t="inlineStr">
        <is>
          <t>GÖTENE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46219</v>
      </c>
      <c r="E184" s="1" t="n">
        <v>46230</v>
      </c>
      <c r="F184" t="inlineStr">
        <is>
          <t>VÄSTRA GÖTALANDS LÄN</t>
        </is>
      </c>
      <c r="G184" t="inlineStr">
        <is>
          <t>GÖTENE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46230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46230</v>
      </c>
      <c r="F186" t="inlineStr">
        <is>
          <t>VÄSTRA GÖTALANDS LÄN</t>
        </is>
      </c>
      <c r="G186" t="inlineStr">
        <is>
          <t>GÖTENE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46230</v>
      </c>
      <c r="F187" t="inlineStr">
        <is>
          <t>VÄSTRA GÖTALANDS LÄN</t>
        </is>
      </c>
      <c r="G187" t="inlineStr">
        <is>
          <t>GÖTENE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46178</v>
      </c>
      <c r="E188" s="1" t="n">
        <v>46230</v>
      </c>
      <c r="F188" t="inlineStr">
        <is>
          <t>VÄSTRA GÖTALANDS LÄN</t>
        </is>
      </c>
      <c r="G188" t="inlineStr">
        <is>
          <t>GÖTENE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46230</v>
      </c>
      <c r="F189" t="inlineStr">
        <is>
          <t>VÄSTRA GÖTALANDS LÄN</t>
        </is>
      </c>
      <c r="G189" t="inlineStr">
        <is>
          <t>GÖTENE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46230</v>
      </c>
      <c r="F190" t="inlineStr">
        <is>
          <t>VÄSTRA GÖTALANDS LÄN</t>
        </is>
      </c>
      <c r="G190" t="inlineStr">
        <is>
          <t>GÖTENE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46230</v>
      </c>
      <c r="F191" t="inlineStr">
        <is>
          <t>VÄSTRA GÖTALANDS LÄN</t>
        </is>
      </c>
      <c r="G191" t="inlineStr">
        <is>
          <t>GÖTENE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46230</v>
      </c>
      <c r="F192" t="inlineStr">
        <is>
          <t>VÄSTRA GÖTALANDS LÄN</t>
        </is>
      </c>
      <c r="G192" t="inlineStr">
        <is>
          <t>GÖTENE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46230</v>
      </c>
      <c r="F193" t="inlineStr">
        <is>
          <t>VÄSTRA GÖTALANDS LÄN</t>
        </is>
      </c>
      <c r="G193" t="inlineStr">
        <is>
          <t>GÖTENE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46182</v>
      </c>
      <c r="E194" s="1" t="n">
        <v>46230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46230</v>
      </c>
      <c r="F195" t="inlineStr">
        <is>
          <t>VÄSTRA GÖTALANDS LÄN</t>
        </is>
      </c>
      <c r="G195" t="inlineStr">
        <is>
          <t>GÖTENE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46230</v>
      </c>
      <c r="F196" t="inlineStr">
        <is>
          <t>VÄSTRA GÖTALANDS LÄN</t>
        </is>
      </c>
      <c r="G196" t="inlineStr">
        <is>
          <t>GÖTENE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46230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46230</v>
      </c>
      <c r="F198" t="inlineStr">
        <is>
          <t>VÄSTRA GÖTALANDS LÄN</t>
        </is>
      </c>
      <c r="G198" t="inlineStr">
        <is>
          <t>GÖTENE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45152</v>
      </c>
      <c r="E199" s="1" t="n">
        <v>46230</v>
      </c>
      <c r="F199" t="inlineStr">
        <is>
          <t>VÄSTRA GÖTALANDS LÄN</t>
        </is>
      </c>
      <c r="G199" t="inlineStr">
        <is>
          <t>GÖTENE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44455</v>
      </c>
      <c r="E200" s="1" t="n">
        <v>46230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45252</v>
      </c>
      <c r="E201" s="1" t="n">
        <v>46230</v>
      </c>
      <c r="F201" t="inlineStr">
        <is>
          <t>VÄSTRA GÖTALANDS LÄN</t>
        </is>
      </c>
      <c r="G201" t="inlineStr">
        <is>
          <t>GÖTENE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46230</v>
      </c>
      <c r="F202" t="inlineStr">
        <is>
          <t>VÄSTRA GÖTALANDS LÄN</t>
        </is>
      </c>
      <c r="G202" t="inlineStr">
        <is>
          <t>GÖTENE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46230</v>
      </c>
      <c r="F203" t="inlineStr">
        <is>
          <t>VÄSTRA GÖTALANDS LÄN</t>
        </is>
      </c>
      <c r="G203" t="inlineStr">
        <is>
          <t>GÖTENE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46230</v>
      </c>
      <c r="F204" t="inlineStr">
        <is>
          <t>VÄSTRA GÖTALANDS LÄN</t>
        </is>
      </c>
      <c r="G204" t="inlineStr">
        <is>
          <t>GÖTENE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46230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Kommuner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46230</v>
      </c>
      <c r="F206" t="inlineStr">
        <is>
          <t>VÄSTRA GÖTALANDS LÄN</t>
        </is>
      </c>
      <c r="G206" t="inlineStr">
        <is>
          <t>GÖTENE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46230</v>
      </c>
      <c r="F207" t="inlineStr">
        <is>
          <t>VÄSTRA GÖTALANDS LÄN</t>
        </is>
      </c>
      <c r="G207" t="inlineStr">
        <is>
          <t>GÖTENE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39081-2022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44817</v>
      </c>
      <c r="E208" s="1" t="n">
        <v>46230</v>
      </c>
      <c r="F208" t="inlineStr">
        <is>
          <t>VÄSTRA GÖTALANDS LÄN</t>
        </is>
      </c>
      <c r="G208" t="inlineStr">
        <is>
          <t>GÖTENE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46230</v>
      </c>
      <c r="F209" t="inlineStr">
        <is>
          <t>VÄSTRA GÖTALANDS LÄN</t>
        </is>
      </c>
      <c r="G209" t="inlineStr">
        <is>
          <t>GÖTENE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45268</v>
      </c>
      <c r="E210" s="1" t="n">
        <v>46230</v>
      </c>
      <c r="F210" t="inlineStr">
        <is>
          <t>VÄSTRA GÖTALANDS LÄN</t>
        </is>
      </c>
      <c r="G210" t="inlineStr">
        <is>
          <t>GÖTENE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44931</v>
      </c>
      <c r="E211" s="1" t="n">
        <v>46230</v>
      </c>
      <c r="F211" t="inlineStr">
        <is>
          <t>VÄSTRA GÖTALANDS LÄN</t>
        </is>
      </c>
      <c r="G211" t="inlineStr">
        <is>
          <t>GÖTENE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46230</v>
      </c>
      <c r="F212" t="inlineStr">
        <is>
          <t>VÄSTRA GÖTALANDS LÄN</t>
        </is>
      </c>
      <c r="G212" t="inlineStr">
        <is>
          <t>GÖTENE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46230</v>
      </c>
      <c r="F213" t="inlineStr">
        <is>
          <t>VÄSTRA GÖTALANDS LÄN</t>
        </is>
      </c>
      <c r="G213" t="inlineStr">
        <is>
          <t>GÖTENE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72879-2021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44547</v>
      </c>
      <c r="E214" s="1" t="n">
        <v>46230</v>
      </c>
      <c r="F214" t="inlineStr">
        <is>
          <t>VÄSTRA GÖTALANDS LÄN</t>
        </is>
      </c>
      <c r="G214" t="inlineStr">
        <is>
          <t>GÖTENE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46230</v>
      </c>
      <c r="F215" t="inlineStr">
        <is>
          <t>VÄSTRA GÖTALANDS LÄN</t>
        </is>
      </c>
      <c r="G215" t="inlineStr">
        <is>
          <t>GÖTENE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45440</v>
      </c>
      <c r="E216" s="1" t="n">
        <v>46230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46230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46230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46230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16341-2025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45751</v>
      </c>
      <c r="E220" s="1" t="n">
        <v>46230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46230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46230</v>
      </c>
      <c r="F222" t="inlineStr">
        <is>
          <t>VÄSTRA GÖTALANDS LÄN</t>
        </is>
      </c>
      <c r="G222" t="inlineStr">
        <is>
          <t>GÖTENE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46230</v>
      </c>
      <c r="F223" t="inlineStr">
        <is>
          <t>VÄSTRA GÖTALANDS LÄN</t>
        </is>
      </c>
      <c r="G223" t="inlineStr">
        <is>
          <t>GÖTENE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46230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26105-2025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45805</v>
      </c>
      <c r="E225" s="1" t="n">
        <v>46230</v>
      </c>
      <c r="F225" t="inlineStr">
        <is>
          <t>VÄSTRA GÖTALANDS LÄN</t>
        </is>
      </c>
      <c r="G225" t="inlineStr">
        <is>
          <t>GÖTENE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46230</v>
      </c>
      <c r="F226" t="inlineStr">
        <is>
          <t>VÄSTRA GÖTALANDS LÄN</t>
        </is>
      </c>
      <c r="G226" t="inlineStr">
        <is>
          <t>GÖTENE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46230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46230</v>
      </c>
      <c r="F228" t="inlineStr">
        <is>
          <t>VÄSTRA GÖTALANDS LÄN</t>
        </is>
      </c>
      <c r="G228" t="inlineStr">
        <is>
          <t>GÖTENE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46230</v>
      </c>
      <c r="F229" t="inlineStr">
        <is>
          <t>VÄSTRA GÖTALANDS LÄN</t>
        </is>
      </c>
      <c r="G229" t="inlineStr">
        <is>
          <t>GÖTENE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46230</v>
      </c>
      <c r="F230" t="inlineStr">
        <is>
          <t>VÄSTRA GÖTALANDS LÄN</t>
        </is>
      </c>
      <c r="G230" t="inlineStr">
        <is>
          <t>GÖTENE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46230</v>
      </c>
      <c r="F231" t="inlineStr">
        <is>
          <t>VÄSTRA GÖTALANDS LÄN</t>
        </is>
      </c>
      <c r="G231" t="inlineStr">
        <is>
          <t>GÖTENE</t>
        </is>
      </c>
      <c r="H231" t="inlineStr">
        <is>
          <t>Kyrkan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45635</v>
      </c>
      <c r="E232" s="1" t="n">
        <v>46230</v>
      </c>
      <c r="F232" t="inlineStr">
        <is>
          <t>VÄSTRA GÖTALANDS LÄN</t>
        </is>
      </c>
      <c r="G232" t="inlineStr">
        <is>
          <t>GÖTENE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46230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46230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46230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2026-07-27T01:49:40Z</dcterms:created>
  <dcterms:modified xmlns:dcterms="http://purl.org/dc/terms/" xmlns:xsi="http://www.w3.org/2001/XMLSchema-instance" xsi:type="dcterms:W3CDTF">2026-07-27T01:49:40Z</dcterms:modified>
</cp:coreProperties>
</file>