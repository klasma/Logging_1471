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46313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46313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46313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46313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46313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46313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46313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46313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46313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HYPERLINK("https://klasma.github.io/Logging_1471/artfynd/A 18647-2025 artfynd.xlsx", "A 18647-2025")</f>
        <v/>
      </c>
      <c r="X17">
        <f>HYPERLINK("https://klasma.github.io/Logging_1471/kartor/A 18647-2025 karta.png", "A 18647-2025")</f>
        <v/>
      </c>
      <c r="Y17">
        <f>HYPERLINK("https://klasma.github.io/Logging_1471/kartor_geotiff/A 18647-2025 georefererad karta.tif", "A 18647-2025")</f>
        <v/>
      </c>
      <c r="AA17">
        <f>HYPERLINK("https://klasma.github.io/Logging_1471/klagomål/A 18647-2025 FSC-klagomål.docx", "A 18647-2025")</f>
        <v/>
      </c>
      <c r="AB17">
        <f>HYPERLINK("https://klasma.github.io/Logging_1471/klagomålsmail/A 18647-2025 FSC-klagomål mail.docx", "A 18647-2025")</f>
        <v/>
      </c>
      <c r="AC17">
        <f>HYPERLINK("https://klasma.github.io/Logging_1471/tillsyn/A 18647-2025 tillsynsbegäran.docx", "A 18647-2025")</f>
        <v/>
      </c>
      <c r="AD17">
        <f>HYPERLINK("https://klasma.github.io/Logging_1471/tillsynsmail/A 18647-2025 tillsynsbegäran mail.docx", "A 18647-2025")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46313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46313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46313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46313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46313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46313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46313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46313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46313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A 32909-2025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46313</v>
      </c>
      <c r="F27" t="inlineStr">
        <is>
          <t>VÄSTRA GÖTALANDS LÄN</t>
        </is>
      </c>
      <c r="G27" t="inlineStr">
        <is>
          <t>GÖTENE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HYPERLINK("https://klasma.github.io/Logging_1471/artfynd/A 32909-2025 artfynd.xlsx", "A 32909-2025")</f>
        <v/>
      </c>
      <c r="X27">
        <f>HYPERLINK("https://klasma.github.io/Logging_1471/kartor/A 32909-2025 karta.png", "A 32909-2025")</f>
        <v/>
      </c>
      <c r="Y27">
        <f>HYPERLINK("https://klasma.github.io/Logging_1471/kartor_geotiff/A 32909-2025 georefererad karta.tif", "A 32909-2025")</f>
        <v/>
      </c>
      <c r="AA27">
        <f>HYPERLINK("https://klasma.github.io/Logging_1471/klagomål/A 32909-2025 FSC-klagomål.docx", "A 32909-2025")</f>
        <v/>
      </c>
      <c r="AB27">
        <f>HYPERLINK("https://klasma.github.io/Logging_1471/klagomålsmail/A 32909-2025 FSC-klagomål mail.docx", "A 32909-2025")</f>
        <v/>
      </c>
      <c r="AC27">
        <f>HYPERLINK("https://klasma.github.io/Logging_1471/tillsyn/A 32909-2025 tillsynsbegäran.docx", "A 32909-2025")</f>
        <v/>
      </c>
      <c r="AD27">
        <f>HYPERLINK("https://klasma.github.io/Logging_1471/tillsynsmail/A 32909-2025 tillsynsbegäran mail.docx", "A 32909-2025")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46313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46313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46313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46313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46313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46313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46313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46313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46313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46313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46313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46313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46313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46313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46313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46313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46313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46313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46313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46313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46313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46313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46313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46313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46313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46313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46313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46313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46313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46313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46313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46313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46313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46313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46313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46313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46313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46313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46313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46313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46313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46313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46313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46313</v>
      </c>
      <c r="F72" t="inlineStr">
        <is>
          <t>VÄSTRA GÖTALANDS LÄN</t>
        </is>
      </c>
      <c r="G72" t="inlineStr">
        <is>
          <t>GÖTENE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46313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46313</v>
      </c>
      <c r="F74" t="inlineStr">
        <is>
          <t>VÄSTRA GÖTALANDS LÄN</t>
        </is>
      </c>
      <c r="G74" t="inlineStr">
        <is>
          <t>GÖTENE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46313</v>
      </c>
      <c r="F75" t="inlineStr">
        <is>
          <t>VÄSTRA GÖTALANDS LÄN</t>
        </is>
      </c>
      <c r="G75" t="inlineStr">
        <is>
          <t>GÖTENE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46313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46313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45021</v>
      </c>
      <c r="E78" s="1" t="n">
        <v>46313</v>
      </c>
      <c r="F78" t="inlineStr">
        <is>
          <t>VÄSTRA GÖTALANDS LÄN</t>
        </is>
      </c>
      <c r="G78" t="inlineStr">
        <is>
          <t>GÖTENE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46313</v>
      </c>
      <c r="F79" t="inlineStr">
        <is>
          <t>VÄSTRA GÖTALANDS LÄN</t>
        </is>
      </c>
      <c r="G79" t="inlineStr">
        <is>
          <t>GÖTENE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45361</v>
      </c>
      <c r="E80" s="1" t="n">
        <v>46313</v>
      </c>
      <c r="F80" t="inlineStr">
        <is>
          <t>VÄSTRA GÖTALANDS LÄN</t>
        </is>
      </c>
      <c r="G80" t="inlineStr">
        <is>
          <t>GÖTENE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46313</v>
      </c>
      <c r="F81" t="inlineStr">
        <is>
          <t>VÄSTRA GÖTALANDS LÄN</t>
        </is>
      </c>
      <c r="G81" t="inlineStr">
        <is>
          <t>GÖTENE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46313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46313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46313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45803</v>
      </c>
      <c r="E85" s="1" t="n">
        <v>46313</v>
      </c>
      <c r="F85" t="inlineStr">
        <is>
          <t>VÄSTRA GÖTALANDS LÄN</t>
        </is>
      </c>
      <c r="G85" t="inlineStr">
        <is>
          <t>GÖTENE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46313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46313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45518</v>
      </c>
      <c r="E88" s="1" t="n">
        <v>46313</v>
      </c>
      <c r="F88" t="inlineStr">
        <is>
          <t>VÄSTRA GÖTALANDS LÄN</t>
        </is>
      </c>
      <c r="G88" t="inlineStr">
        <is>
          <t>GÖTENE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46313</v>
      </c>
      <c r="F89" t="inlineStr">
        <is>
          <t>VÄSTRA GÖTALANDS LÄN</t>
        </is>
      </c>
      <c r="G89" t="inlineStr">
        <is>
          <t>GÖTENE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46313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46313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46313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46147</v>
      </c>
      <c r="E93" s="1" t="n">
        <v>46313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46313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45000</v>
      </c>
      <c r="E95" s="1" t="n">
        <v>46313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46147</v>
      </c>
      <c r="E96" s="1" t="n">
        <v>46313</v>
      </c>
      <c r="F96" t="inlineStr">
        <is>
          <t>VÄSTRA GÖTALANDS LÄN</t>
        </is>
      </c>
      <c r="G96" t="inlineStr">
        <is>
          <t>GÖTENE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46313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46313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46313</v>
      </c>
      <c r="F99" t="inlineStr">
        <is>
          <t>VÄSTRA GÖTALANDS LÄN</t>
        </is>
      </c>
      <c r="G99" t="inlineStr">
        <is>
          <t>GÖTENE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46313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46313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46313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46313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46313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46313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46313</v>
      </c>
      <c r="F106" t="inlineStr">
        <is>
          <t>VÄSTRA GÖTALANDS LÄN</t>
        </is>
      </c>
      <c r="G106" t="inlineStr">
        <is>
          <t>GÖTENE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46313</v>
      </c>
      <c r="F107" t="inlineStr">
        <is>
          <t>VÄSTRA GÖTALANDS LÄN</t>
        </is>
      </c>
      <c r="G107" t="inlineStr">
        <is>
          <t>GÖTENE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46313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44614</v>
      </c>
      <c r="E109" s="1" t="n">
        <v>46313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Kyrkan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46313</v>
      </c>
      <c r="F110" t="inlineStr">
        <is>
          <t>VÄSTRA GÖTALANDS LÄN</t>
        </is>
      </c>
      <c r="G110" t="inlineStr">
        <is>
          <t>GÖTENE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46160</v>
      </c>
      <c r="E111" s="1" t="n">
        <v>46313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46313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46313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46313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46313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46313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46313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46313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46313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Övriga Aktiebolag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46313</v>
      </c>
      <c r="F120" t="inlineStr">
        <is>
          <t>VÄSTRA GÖTALANDS LÄN</t>
        </is>
      </c>
      <c r="G120" t="inlineStr">
        <is>
          <t>GÖTENE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46313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46313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46313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46313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46313</v>
      </c>
      <c r="F125" t="inlineStr">
        <is>
          <t>VÄSTRA GÖTALANDS LÄN</t>
        </is>
      </c>
      <c r="G125" t="inlineStr">
        <is>
          <t>GÖTENE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46313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46313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46313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46313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46313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46313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25777-2026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46178</v>
      </c>
      <c r="E132" s="1" t="n">
        <v>46313</v>
      </c>
      <c r="F132" t="inlineStr">
        <is>
          <t>VÄSTRA GÖTALANDS LÄN</t>
        </is>
      </c>
      <c r="G132" t="inlineStr">
        <is>
          <t>GÖTENE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46313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46313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46313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46182</v>
      </c>
      <c r="E136" s="1" t="n">
        <v>46313</v>
      </c>
      <c r="F136" t="inlineStr">
        <is>
          <t>VÄSTRA GÖTALANDS LÄN</t>
        </is>
      </c>
      <c r="G136" t="inlineStr">
        <is>
          <t>GÖTENE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46313</v>
      </c>
      <c r="F137" t="inlineStr">
        <is>
          <t>VÄSTRA GÖTALANDS LÄN</t>
        </is>
      </c>
      <c r="G137" t="inlineStr">
        <is>
          <t>GÖTENE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46313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44638</v>
      </c>
      <c r="E139" s="1" t="n">
        <v>46313</v>
      </c>
      <c r="F139" t="inlineStr">
        <is>
          <t>VÄSTRA GÖTALANDS LÄN</t>
        </is>
      </c>
      <c r="G139" t="inlineStr">
        <is>
          <t>GÖTENE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46313</v>
      </c>
      <c r="F140" t="inlineStr">
        <is>
          <t>VÄSTRA GÖTALANDS LÄN</t>
        </is>
      </c>
      <c r="G140" t="inlineStr">
        <is>
          <t>GÖTENE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46083</v>
      </c>
      <c r="E141" s="1" t="n">
        <v>46313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46313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46313</v>
      </c>
      <c r="F143" t="inlineStr">
        <is>
          <t>VÄSTRA GÖTALANDS LÄN</t>
        </is>
      </c>
      <c r="G143" t="inlineStr">
        <is>
          <t>GÖTENE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46313</v>
      </c>
      <c r="F144" t="inlineStr">
        <is>
          <t>VÄSTRA GÖTALANDS LÄN</t>
        </is>
      </c>
      <c r="G144" t="inlineStr">
        <is>
          <t>GÖTENE</t>
        </is>
      </c>
      <c r="I144" t="n">
        <v>19.7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46313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46313</v>
      </c>
      <c r="F146" t="inlineStr">
        <is>
          <t>VÄSTRA GÖTALANDS LÄN</t>
        </is>
      </c>
      <c r="G146" t="inlineStr">
        <is>
          <t>GÖTENE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46313</v>
      </c>
      <c r="F147" t="inlineStr">
        <is>
          <t>VÄSTRA GÖTALANDS LÄN</t>
        </is>
      </c>
      <c r="G147" t="inlineStr">
        <is>
          <t>GÖTENE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46313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46313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46313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46313</v>
      </c>
      <c r="F151" t="inlineStr">
        <is>
          <t>VÄSTRA GÖTALANDS LÄN</t>
        </is>
      </c>
      <c r="G151" t="inlineStr">
        <is>
          <t>GÖTENE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46313</v>
      </c>
      <c r="F152" t="inlineStr">
        <is>
          <t>VÄSTRA GÖTALANDS LÄN</t>
        </is>
      </c>
      <c r="G152" t="inlineStr">
        <is>
          <t>GÖTENE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46313</v>
      </c>
      <c r="F153" t="inlineStr">
        <is>
          <t>VÄSTRA GÖTALANDS LÄN</t>
        </is>
      </c>
      <c r="G153" t="inlineStr">
        <is>
          <t>GÖTENE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46313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46313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46313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46313</v>
      </c>
      <c r="F157" t="inlineStr">
        <is>
          <t>VÄSTRA GÖTALANDS LÄN</t>
        </is>
      </c>
      <c r="G157" t="inlineStr">
        <is>
          <t>GÖTENE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46313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46313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46313</v>
      </c>
      <c r="F160" t="inlineStr">
        <is>
          <t>VÄSTRA GÖTALANDS LÄN</t>
        </is>
      </c>
      <c r="G160" t="inlineStr">
        <is>
          <t>GÖTENE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46313</v>
      </c>
      <c r="F161" t="inlineStr">
        <is>
          <t>VÄSTRA GÖTALANDS LÄN</t>
        </is>
      </c>
      <c r="G161" t="inlineStr">
        <is>
          <t>GÖTENE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46313</v>
      </c>
      <c r="F162" t="inlineStr">
        <is>
          <t>VÄSTRA GÖTALANDS LÄN</t>
        </is>
      </c>
      <c r="G162" t="inlineStr">
        <is>
          <t>GÖTENE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46313</v>
      </c>
      <c r="F163" t="inlineStr">
        <is>
          <t>VÄSTRA GÖTALANDS LÄN</t>
        </is>
      </c>
      <c r="G163" t="inlineStr">
        <is>
          <t>GÖTENE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46313</v>
      </c>
      <c r="F164" t="inlineStr">
        <is>
          <t>VÄSTRA GÖTALANDS LÄN</t>
        </is>
      </c>
      <c r="G164" t="inlineStr">
        <is>
          <t>GÖTENE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46313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46313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46313</v>
      </c>
      <c r="F167" t="inlineStr">
        <is>
          <t>VÄSTRA GÖTALANDS LÄN</t>
        </is>
      </c>
      <c r="G167" t="inlineStr">
        <is>
          <t>GÖTENE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46313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46313</v>
      </c>
      <c r="F169" t="inlineStr">
        <is>
          <t>VÄSTRA GÖTALANDS LÄN</t>
        </is>
      </c>
      <c r="G169" t="inlineStr">
        <is>
          <t>GÖTENE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46313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46313</v>
      </c>
      <c r="F171" t="inlineStr">
        <is>
          <t>VÄSTRA GÖTALANDS LÄN</t>
        </is>
      </c>
      <c r="G171" t="inlineStr">
        <is>
          <t>GÖTENE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46313</v>
      </c>
      <c r="F172" t="inlineStr">
        <is>
          <t>VÄSTRA GÖTALANDS LÄN</t>
        </is>
      </c>
      <c r="G172" t="inlineStr">
        <is>
          <t>GÖTENE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46313</v>
      </c>
      <c r="F173" t="inlineStr">
        <is>
          <t>VÄSTRA GÖTALANDS LÄN</t>
        </is>
      </c>
      <c r="G173" t="inlineStr">
        <is>
          <t>GÖTENE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46313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46313</v>
      </c>
      <c r="F175" t="inlineStr">
        <is>
          <t>VÄSTRA GÖTALANDS LÄN</t>
        </is>
      </c>
      <c r="G175" t="inlineStr">
        <is>
          <t>GÖTENE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46313</v>
      </c>
      <c r="F176" t="inlineStr">
        <is>
          <t>VÄSTRA GÖTALANDS LÄN</t>
        </is>
      </c>
      <c r="G176" t="inlineStr">
        <is>
          <t>GÖTENE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46313</v>
      </c>
      <c r="F177" t="inlineStr">
        <is>
          <t>VÄSTRA GÖTALANDS LÄN</t>
        </is>
      </c>
      <c r="G177" t="inlineStr">
        <is>
          <t>GÖTENE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46276</v>
      </c>
      <c r="E178" s="1" t="n">
        <v>46313</v>
      </c>
      <c r="F178" t="inlineStr">
        <is>
          <t>VÄSTRA GÖTALANDS LÄN</t>
        </is>
      </c>
      <c r="G178" t="inlineStr">
        <is>
          <t>GÖTENE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46237</v>
      </c>
      <c r="E179" s="1" t="n">
        <v>46313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Övriga Aktiebolag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46238</v>
      </c>
      <c r="E180" s="1" t="n">
        <v>46313</v>
      </c>
      <c r="F180" t="inlineStr">
        <is>
          <t>VÄSTRA GÖTALANDS LÄN</t>
        </is>
      </c>
      <c r="G180" t="inlineStr">
        <is>
          <t>GÖTENE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46238</v>
      </c>
      <c r="E181" s="1" t="n">
        <v>46313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46313</v>
      </c>
      <c r="F182" t="inlineStr">
        <is>
          <t>VÄSTRA GÖTALANDS LÄN</t>
        </is>
      </c>
      <c r="G182" t="inlineStr">
        <is>
          <t>GÖTENE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46313</v>
      </c>
      <c r="F183" t="inlineStr">
        <is>
          <t>VÄSTRA GÖTALANDS LÄN</t>
        </is>
      </c>
      <c r="G183" t="inlineStr">
        <is>
          <t>GÖTENE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46313</v>
      </c>
      <c r="F184" t="inlineStr">
        <is>
          <t>VÄSTRA GÖTALANDS LÄN</t>
        </is>
      </c>
      <c r="G184" t="inlineStr">
        <is>
          <t>GÖTENE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46313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Kommuner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46313</v>
      </c>
      <c r="F186" t="inlineStr">
        <is>
          <t>VÄSTRA GÖTALANDS LÄN</t>
        </is>
      </c>
      <c r="G186" t="inlineStr">
        <is>
          <t>GÖTENE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46313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46313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46313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46313</v>
      </c>
      <c r="F190" t="inlineStr">
        <is>
          <t>VÄSTRA GÖTALANDS LÄN</t>
        </is>
      </c>
      <c r="G190" t="inlineStr">
        <is>
          <t>GÖTENE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46313</v>
      </c>
      <c r="F191" t="inlineStr">
        <is>
          <t>VÄSTRA GÖTALANDS LÄN</t>
        </is>
      </c>
      <c r="G191" t="inlineStr">
        <is>
          <t>GÖTENE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46313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46182</v>
      </c>
      <c r="E193" s="1" t="n">
        <v>46313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46313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46313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46313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46313</v>
      </c>
      <c r="F197" t="inlineStr">
        <is>
          <t>VÄSTRA GÖTALANDS LÄN</t>
        </is>
      </c>
      <c r="G197" t="inlineStr">
        <is>
          <t>GÖTENE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46313</v>
      </c>
      <c r="F198" t="inlineStr">
        <is>
          <t>VÄSTRA GÖTALANDS LÄN</t>
        </is>
      </c>
      <c r="G198" t="inlineStr">
        <is>
          <t>GÖTENE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72879-2021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44547</v>
      </c>
      <c r="E199" s="1" t="n">
        <v>46313</v>
      </c>
      <c r="F199" t="inlineStr">
        <is>
          <t>VÄSTRA GÖTALANDS LÄN</t>
        </is>
      </c>
      <c r="G199" t="inlineStr">
        <is>
          <t>GÖTENE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46252</v>
      </c>
      <c r="E200" s="1" t="n">
        <v>46313</v>
      </c>
      <c r="F200" t="inlineStr">
        <is>
          <t>VÄSTRA GÖTALANDS LÄN</t>
        </is>
      </c>
      <c r="G200" t="inlineStr">
        <is>
          <t>GÖTENE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46313</v>
      </c>
      <c r="F201" t="inlineStr">
        <is>
          <t>VÄSTRA GÖTALANDS LÄN</t>
        </is>
      </c>
      <c r="G201" t="inlineStr">
        <is>
          <t>GÖTENE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46313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46313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46313</v>
      </c>
      <c r="F204" t="inlineStr">
        <is>
          <t>VÄSTRA GÖTALANDS LÄN</t>
        </is>
      </c>
      <c r="G204" t="inlineStr">
        <is>
          <t>GÖTENE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46313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46313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46313</v>
      </c>
      <c r="F207" t="inlineStr">
        <is>
          <t>VÄSTRA GÖTALANDS LÄN</t>
        </is>
      </c>
      <c r="G207" t="inlineStr">
        <is>
          <t>GÖTENE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45751</v>
      </c>
      <c r="E208" s="1" t="n">
        <v>46313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46313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46313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46313</v>
      </c>
      <c r="F211" t="inlineStr">
        <is>
          <t>VÄSTRA GÖTALANDS LÄN</t>
        </is>
      </c>
      <c r="G211" t="inlineStr">
        <is>
          <t>GÖTENE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46313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46313</v>
      </c>
      <c r="F213" t="inlineStr">
        <is>
          <t>VÄSTRA GÖTALANDS LÄN</t>
        </is>
      </c>
      <c r="G213" t="inlineStr">
        <is>
          <t>GÖTENE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46313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46313</v>
      </c>
      <c r="F215" t="inlineStr">
        <is>
          <t>VÄSTRA GÖTALANDS LÄN</t>
        </is>
      </c>
      <c r="G215" t="inlineStr">
        <is>
          <t>GÖTENE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46266</v>
      </c>
      <c r="E216" s="1" t="n">
        <v>46313</v>
      </c>
      <c r="F216" t="inlineStr">
        <is>
          <t>VÄSTRA GÖTALANDS LÄN</t>
        </is>
      </c>
      <c r="G216" t="inlineStr">
        <is>
          <t>GÖTENE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46313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Övriga Aktiebolag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46313</v>
      </c>
      <c r="F218" t="inlineStr">
        <is>
          <t>VÄSTRA GÖTALANDS LÄN</t>
        </is>
      </c>
      <c r="G218" t="inlineStr">
        <is>
          <t>GÖTENE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46313</v>
      </c>
      <c r="F219" t="inlineStr">
        <is>
          <t>VÄSTRA GÖTALANDS LÄN</t>
        </is>
      </c>
      <c r="G219" t="inlineStr">
        <is>
          <t>GÖTENE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46313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46313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46313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46313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46313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46313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46313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2026-10-18T08:03:37Z</dcterms:created>
  <dcterms:modified xmlns:dcterms="http://purl.org/dc/terms/" xmlns:xsi="http://www.w3.org/2001/XMLSchema-instance" xsi:type="dcterms:W3CDTF">2026-10-18T08:03:37Z</dcterms:modified>
</cp:coreProperties>
</file>