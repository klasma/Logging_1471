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28254-2023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45099</v>
      </c>
      <c r="E2" s="1" t="n">
        <v>46318</v>
      </c>
      <c r="F2" t="inlineStr">
        <is>
          <t>VÄSTRA GÖTALANDS LÄN</t>
        </is>
      </c>
      <c r="G2" t="inlineStr">
        <is>
          <t>GÖTENE</t>
        </is>
      </c>
      <c r="I2" t="n">
        <v>11.6</v>
      </c>
      <c r="J2" t="n">
        <v>7</v>
      </c>
      <c r="K2" t="n">
        <v>8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16</v>
      </c>
      <c r="T2" t="n">
        <v>26</v>
      </c>
      <c r="U2" t="n">
        <v>9</v>
      </c>
      <c r="V2" s="2" t="inlineStr">
        <is>
          <t>Rosetticka
Brunlångöra
Dammfladdermus
Nordfladdermus
Aprikosfingersvamp
Blodvaxing
Gulpudrad spiklav
Slemjordtunga
Sprödvaxing
Svart jordtunga
Vitvaxing agg.
Ängsvaxing agg.
Spillkråka
Dvärgpipistrell
Större brunfladdermus
Vattenfladdermus</t>
        </is>
      </c>
      <c r="W2">
        <f>HYPERLINK("https://klasma.github.io/Logging_1471/artfynd/A 28254-2023 artfynd.xlsx", "A 28254-2023")</f>
        <v/>
      </c>
      <c r="X2">
        <f>HYPERLINK("https://klasma.github.io/Logging_1471/kartor/A 28254-2023 karta.png", "A 28254-2023")</f>
        <v/>
      </c>
      <c r="Y2">
        <f>HYPERLINK("https://klasma.github.io/Logging_1471/kartor_geotiff/A 28254-2023 georefererad karta.tif", "A 28254-2023")</f>
        <v/>
      </c>
      <c r="AA2">
        <f>HYPERLINK("https://klasma.github.io/Logging_1471/klagomål/A 28254-2023 FSC-klagomål.docx", "A 28254-2023")</f>
        <v/>
      </c>
      <c r="AB2">
        <f>HYPERLINK("https://klasma.github.io/Logging_1471/klagomålsmail/A 28254-2023 FSC-klagomål mail.docx", "A 28254-2023")</f>
        <v/>
      </c>
      <c r="AC2">
        <f>HYPERLINK("https://klasma.github.io/Logging_1471/tillsyn/A 28254-2023 tillsynsbegäran.docx", "A 28254-2023")</f>
        <v/>
      </c>
      <c r="AD2">
        <f>HYPERLINK("https://klasma.github.io/Logging_1471/tillsynsmail/A 28254-2023 tillsynsbegäran mail.docx", "A 28254-2023")</f>
        <v/>
      </c>
      <c r="AE2">
        <f>HYPERLINK("https://klasma.github.io/Logging_1471/fåglar/A 28254-2023 prioriterade fågelarter.docx", "A 28254-2023")</f>
        <v/>
      </c>
    </row>
    <row r="3" ht="15" customHeight="1">
      <c r="A3" t="inlineStr">
        <is>
          <t>S 6263-2022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44868</v>
      </c>
      <c r="E3" s="1" t="n">
        <v>46318</v>
      </c>
      <c r="F3" t="inlineStr">
        <is>
          <t>VÄSTRA GÖTALANDS LÄN</t>
        </is>
      </c>
      <c r="G3" t="inlineStr">
        <is>
          <t>GÖTENE</t>
        </is>
      </c>
      <c r="I3" t="n">
        <v>10.4</v>
      </c>
      <c r="J3" t="n">
        <v>4</v>
      </c>
      <c r="K3" t="n">
        <v>0</v>
      </c>
      <c r="L3" t="n">
        <v>1</v>
      </c>
      <c r="M3" t="n">
        <v>2</v>
      </c>
      <c r="N3" t="n">
        <v>2</v>
      </c>
      <c r="O3" t="n">
        <v>0</v>
      </c>
      <c r="P3" t="n">
        <v>0</v>
      </c>
      <c r="Q3" t="n">
        <v>5</v>
      </c>
      <c r="R3" t="n">
        <v>4</v>
      </c>
      <c r="S3" t="n">
        <v>8</v>
      </c>
      <c r="T3" t="n">
        <v>20</v>
      </c>
      <c r="U3" t="n">
        <v>3</v>
      </c>
      <c r="V3" s="2" t="inlineStr">
        <is>
          <t>Ask
Växtklotterlav
Lungrot
Strandviol
Nordfladdermus
Dvärgpipistrell
Större brunfladdermus
Vattenfladdermus</t>
        </is>
      </c>
      <c r="W3">
        <f>HYPERLINK("https://klasma.github.io/Logging_1471/artfynd/S 6263-2022 artfynd.xlsx", "S 6263-2022")</f>
        <v/>
      </c>
      <c r="X3">
        <f>HYPERLINK("https://klasma.github.io/Logging_1471/kartor/S 6263-2022 karta.png", "S 6263-2022")</f>
        <v/>
      </c>
      <c r="Y3">
        <f>HYPERLINK("https://klasma.github.io/Logging_1471/kartor_geotiff/S 6263-2022 georefererad karta.tif", "S 6263-2022")</f>
        <v/>
      </c>
      <c r="AA3">
        <f>HYPERLINK("https://klasma.github.io/Logging_1471/klagomål/S 6263-2022 FSC-klagomål.docx", "S 6263-2022")</f>
        <v/>
      </c>
      <c r="AB3">
        <f>HYPERLINK("https://klasma.github.io/Logging_1471/klagomålsmail/S 6263-2022 FSC-klagomål mail.docx", "S 6263-2022")</f>
        <v/>
      </c>
      <c r="AC3">
        <f>HYPERLINK("https://klasma.github.io/Logging_1471/tillsyn/S 6263-2022 tillsynsbegäran.docx", "S 6263-2022")</f>
        <v/>
      </c>
      <c r="AD3">
        <f>HYPERLINK("https://klasma.github.io/Logging_1471/tillsynsmail/S 6263-2022 tillsynsbegäran mail.docx", "S 6263-2022")</f>
        <v/>
      </c>
    </row>
    <row r="4" ht="15" customHeight="1">
      <c r="A4" t="inlineStr">
        <is>
          <t>A 23414-2023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45076</v>
      </c>
      <c r="E4" s="1" t="n">
        <v>46318</v>
      </c>
      <c r="F4" t="inlineStr">
        <is>
          <t>VÄSTRA GÖTALANDS LÄN</t>
        </is>
      </c>
      <c r="G4" t="inlineStr">
        <is>
          <t>GÖTENE</t>
        </is>
      </c>
      <c r="I4" t="n">
        <v>3.1</v>
      </c>
      <c r="J4" t="n">
        <v>1</v>
      </c>
      <c r="K4" t="n">
        <v>2</v>
      </c>
      <c r="L4" t="n">
        <v>2</v>
      </c>
      <c r="M4" t="n">
        <v>0</v>
      </c>
      <c r="N4" t="n">
        <v>2</v>
      </c>
      <c r="O4" t="n">
        <v>0</v>
      </c>
      <c r="P4" t="n">
        <v>0</v>
      </c>
      <c r="Q4" t="n">
        <v>4</v>
      </c>
      <c r="R4" t="n">
        <v>2</v>
      </c>
      <c r="S4" t="n">
        <v>6</v>
      </c>
      <c r="T4" t="n">
        <v>7</v>
      </c>
      <c r="U4" t="n">
        <v>5</v>
      </c>
      <c r="V4" s="2" t="inlineStr">
        <is>
          <t>Ask
Pärluggla
Gullpudra
Svartöra
Kragjordstjärna
Scharlakansskål</t>
        </is>
      </c>
      <c r="W4">
        <f>HYPERLINK("https://klasma.github.io/Logging_1471/artfynd/A 23414-2023 artfynd.xlsx", "A 23414-2023")</f>
        <v/>
      </c>
      <c r="X4">
        <f>HYPERLINK("https://klasma.github.io/Logging_1471/kartor/A 23414-2023 karta.png", "A 23414-2023")</f>
        <v/>
      </c>
      <c r="Y4">
        <f>HYPERLINK("https://klasma.github.io/Logging_1471/kartor_geotiff/A 23414-2023 georefererad karta.tif", "A 23414-2023")</f>
        <v/>
      </c>
      <c r="AA4">
        <f>HYPERLINK("https://klasma.github.io/Logging_1471/klagomål/A 23414-2023 FSC-klagomål.docx", "A 23414-2023")</f>
        <v/>
      </c>
      <c r="AB4">
        <f>HYPERLINK("https://klasma.github.io/Logging_1471/klagomålsmail/A 23414-2023 FSC-klagomål mail.docx", "A 23414-2023")</f>
        <v/>
      </c>
      <c r="AC4">
        <f>HYPERLINK("https://klasma.github.io/Logging_1471/tillsyn/A 23414-2023 tillsynsbegäran.docx", "A 23414-2023")</f>
        <v/>
      </c>
      <c r="AD4">
        <f>HYPERLINK("https://klasma.github.io/Logging_1471/tillsynsmail/A 23414-2023 tillsynsbegäran mail.docx", "A 23414-2023")</f>
        <v/>
      </c>
      <c r="AE4">
        <f>HYPERLINK("https://klasma.github.io/Logging_1471/fåglar/A 23414-2023 prioriterade fågelarter.docx", "A 23414-2023")</f>
        <v/>
      </c>
    </row>
    <row r="5" ht="15" customHeight="1">
      <c r="A5" t="inlineStr">
        <is>
          <t>A 12865-2022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44642</v>
      </c>
      <c r="E5" s="1" t="n">
        <v>46318</v>
      </c>
      <c r="F5" t="inlineStr">
        <is>
          <t>VÄSTRA GÖTALANDS LÄN</t>
        </is>
      </c>
      <c r="G5" t="inlineStr">
        <is>
          <t>GÖTENE</t>
        </is>
      </c>
      <c r="I5" t="n">
        <v>0.5</v>
      </c>
      <c r="J5" t="n">
        <v>4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</v>
      </c>
      <c r="T5" t="n">
        <v>4</v>
      </c>
      <c r="U5" t="n">
        <v>0</v>
      </c>
      <c r="V5" s="2" t="inlineStr">
        <is>
          <t>Nordfladdermus
Dvärgpipistrell
Större brunfladdermus
Vattenfladdermus</t>
        </is>
      </c>
      <c r="W5">
        <f>HYPERLINK("https://klasma.github.io/Logging_1471/artfynd/A 12865-2022 artfynd.xlsx", "A 12865-2022")</f>
        <v/>
      </c>
      <c r="X5">
        <f>HYPERLINK("https://klasma.github.io/Logging_1471/kartor/A 12865-2022 karta.png", "A 12865-2022")</f>
        <v/>
      </c>
      <c r="Y5">
        <f>HYPERLINK("https://klasma.github.io/Logging_1471/kartor_geotiff/A 12865-2022 georefererad karta.tif", "A 12865-2022")</f>
        <v/>
      </c>
      <c r="AA5">
        <f>HYPERLINK("https://klasma.github.io/Logging_1471/klagomål/A 12865-2022 FSC-klagomål.docx", "A 12865-2022")</f>
        <v/>
      </c>
      <c r="AB5">
        <f>HYPERLINK("https://klasma.github.io/Logging_1471/klagomålsmail/A 12865-2022 FSC-klagomål mail.docx", "A 12865-2022")</f>
        <v/>
      </c>
      <c r="AC5">
        <f>HYPERLINK("https://klasma.github.io/Logging_1471/tillsyn/A 12865-2022 tillsynsbegäran.docx", "A 12865-2022")</f>
        <v/>
      </c>
      <c r="AD5">
        <f>HYPERLINK("https://klasma.github.io/Logging_1471/tillsynsmail/A 12865-2022 tillsynsbegäran mail.docx", "A 12865-2022")</f>
        <v/>
      </c>
    </row>
    <row r="6" ht="15" customHeight="1">
      <c r="A6" t="inlineStr">
        <is>
          <t>S 613-2024</t>
        </is>
      </c>
      <c r="B6" t="inlineStr">
        <is>
          <t>samrådsanmälan</t>
        </is>
      </c>
      <c r="C6" t="inlineStr">
        <is>
          <t>Askåterföring</t>
        </is>
      </c>
      <c r="D6" s="1" t="n">
        <v>45352</v>
      </c>
      <c r="E6" s="1" t="n">
        <v>46318</v>
      </c>
      <c r="F6" t="inlineStr">
        <is>
          <t>VÄSTRA GÖTALANDS LÄN</t>
        </is>
      </c>
      <c r="G6" t="inlineStr">
        <is>
          <t>GÖTENE</t>
        </is>
      </c>
      <c r="I6" t="n">
        <v>30.2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4</v>
      </c>
      <c r="T6" t="n">
        <v>4</v>
      </c>
      <c r="U6" t="n">
        <v>2</v>
      </c>
      <c r="V6" s="2" t="inlineStr">
        <is>
          <t>Älg
Grönpyrola
Kamjordstjärna
Grönvit nattviol</t>
        </is>
      </c>
      <c r="W6">
        <f>HYPERLINK("https://klasma.github.io/Logging_1471/artfynd/S 613-2024 artfynd.xlsx", "S 613-2024")</f>
        <v/>
      </c>
      <c r="X6">
        <f>HYPERLINK("https://klasma.github.io/Logging_1471/kartor/S 613-2024 karta.png", "S 613-2024")</f>
        <v/>
      </c>
      <c r="Y6">
        <f>HYPERLINK("https://klasma.github.io/Logging_1471/kartor_geotiff/S 613-2024 georefererad karta.tif", "S 613-2024")</f>
        <v/>
      </c>
      <c r="AA6">
        <f>HYPERLINK("https://klasma.github.io/Logging_1471/klagomål/S 613-2024 FSC-klagomål.docx", "S 613-2024")</f>
        <v/>
      </c>
      <c r="AB6">
        <f>HYPERLINK("https://klasma.github.io/Logging_1471/klagomålsmail/S 613-2024 FSC-klagomål mail.docx", "S 613-2024")</f>
        <v/>
      </c>
      <c r="AC6">
        <f>HYPERLINK("https://klasma.github.io/Logging_1471/tillsyn/S 613-2024 tillsynsbegäran.docx", "S 613-2024")</f>
        <v/>
      </c>
      <c r="AD6">
        <f>HYPERLINK("https://klasma.github.io/Logging_1471/tillsynsmail/S 613-2024 tillsynsbegäran mail.docx", "S 613-2024")</f>
        <v/>
      </c>
    </row>
    <row r="7" ht="15" customHeight="1">
      <c r="A7" t="inlineStr">
        <is>
          <t>A 21378-2026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46147</v>
      </c>
      <c r="E7" s="1" t="n">
        <v>46318</v>
      </c>
      <c r="F7" t="inlineStr">
        <is>
          <t>VÄSTRA GÖTALANDS LÄN</t>
        </is>
      </c>
      <c r="G7" t="inlineStr">
        <is>
          <t>GÖTENE</t>
        </is>
      </c>
      <c r="I7" t="n">
        <v>2.5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2</v>
      </c>
      <c r="R7" t="n">
        <v>1</v>
      </c>
      <c r="S7" t="n">
        <v>3</v>
      </c>
      <c r="T7" t="n">
        <v>3</v>
      </c>
      <c r="U7" t="n">
        <v>1</v>
      </c>
      <c r="V7" s="2" t="inlineStr">
        <is>
          <t>Ask
Krusfrö
Brun nållav</t>
        </is>
      </c>
      <c r="W7">
        <f>HYPERLINK("https://klasma.github.io/Logging_1471/artfynd/A 21378-2026 artfynd.xlsx", "A 21378-2026")</f>
        <v/>
      </c>
      <c r="X7">
        <f>HYPERLINK("https://klasma.github.io/Logging_1471/kartor/A 21378-2026 karta.png", "A 21378-2026")</f>
        <v/>
      </c>
      <c r="Y7">
        <f>HYPERLINK("https://klasma.github.io/Logging_1471/kartor_geotiff/A 21378-2026 georefererad karta.tif", "A 21378-2026")</f>
        <v/>
      </c>
      <c r="AA7">
        <f>HYPERLINK("https://klasma.github.io/Logging_1471/klagomål/A 21378-2026 FSC-klagomål.docx", "A 21378-2026")</f>
        <v/>
      </c>
      <c r="AB7">
        <f>HYPERLINK("https://klasma.github.io/Logging_1471/klagomålsmail/A 21378-2026 FSC-klagomål mail.docx", "A 21378-2026")</f>
        <v/>
      </c>
      <c r="AC7">
        <f>HYPERLINK("https://klasma.github.io/Logging_1471/tillsyn/A 21378-2026 tillsynsbegäran.docx", "A 21378-2026")</f>
        <v/>
      </c>
      <c r="AD7">
        <f>HYPERLINK("https://klasma.github.io/Logging_1471/tillsynsmail/A 21378-2026 tillsynsbegäran mail.docx", "A 21378-2026")</f>
        <v/>
      </c>
    </row>
    <row r="8" ht="15" customHeight="1">
      <c r="A8" t="inlineStr">
        <is>
          <t>A 39835-2026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46290</v>
      </c>
      <c r="E8" s="1" t="n">
        <v>46318</v>
      </c>
      <c r="F8" t="inlineStr">
        <is>
          <t>VÄSTRA GÖTALANDS LÄN</t>
        </is>
      </c>
      <c r="G8" t="inlineStr">
        <is>
          <t>GÖTENE</t>
        </is>
      </c>
      <c r="H8" t="inlineStr">
        <is>
          <t>Sveaskog</t>
        </is>
      </c>
      <c r="I8" t="n">
        <v>4.2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3</v>
      </c>
      <c r="U8" t="n">
        <v>0</v>
      </c>
      <c r="V8" s="2" t="inlineStr">
        <is>
          <t>Fransig jordstjärna
Kamjordstjärna
Kragjordstjärna</t>
        </is>
      </c>
      <c r="W8">
        <f>HYPERLINK("https://klasma.github.io/Logging_1471/artfynd/A 39835-2026 artfynd.xlsx", "A 39835-2026")</f>
        <v/>
      </c>
      <c r="X8">
        <f>HYPERLINK("https://klasma.github.io/Logging_1471/kartor/A 39835-2026 karta.png", "A 39835-2026")</f>
        <v/>
      </c>
      <c r="Y8">
        <f>HYPERLINK("https://klasma.github.io/Logging_1471/kartor_geotiff/A 39835-2026 georefererad karta.tif", "A 39835-2026")</f>
        <v/>
      </c>
      <c r="AA8">
        <f>HYPERLINK("https://klasma.github.io/Logging_1471/klagomål/A 39835-2026 FSC-klagomål.docx", "A 39835-2026")</f>
        <v/>
      </c>
      <c r="AB8">
        <f>HYPERLINK("https://klasma.github.io/Logging_1471/klagomålsmail/A 39835-2026 FSC-klagomål mail.docx", "A 39835-2026")</f>
        <v/>
      </c>
      <c r="AC8">
        <f>HYPERLINK("https://klasma.github.io/Logging_1471/tillsyn/A 39835-2026 tillsynsbegäran.docx", "A 39835-2026")</f>
        <v/>
      </c>
      <c r="AD8">
        <f>HYPERLINK("https://klasma.github.io/Logging_1471/tillsynsmail/A 39835-2026 tillsynsbegäran mail.docx", "A 39835-2026")</f>
        <v/>
      </c>
    </row>
    <row r="9" ht="15" customHeight="1">
      <c r="A9" t="inlineStr">
        <is>
          <t>A 34562-2025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45847</v>
      </c>
      <c r="E9" s="1" t="n">
        <v>46318</v>
      </c>
      <c r="F9" t="inlineStr">
        <is>
          <t>VÄSTRA GÖTALANDS LÄN</t>
        </is>
      </c>
      <c r="G9" t="inlineStr">
        <is>
          <t>GÖTENE</t>
        </is>
      </c>
      <c r="I9" t="n">
        <v>11.1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Rävticka
Strimspindling</t>
        </is>
      </c>
      <c r="W9">
        <f>HYPERLINK("https://klasma.github.io/Logging_1471/artfynd/A 34562-2025 artfynd.xlsx", "A 34562-2025")</f>
        <v/>
      </c>
      <c r="X9">
        <f>HYPERLINK("https://klasma.github.io/Logging_1471/kartor/A 34562-2025 karta.png", "A 34562-2025")</f>
        <v/>
      </c>
      <c r="Y9">
        <f>HYPERLINK("https://klasma.github.io/Logging_1471/kartor_geotiff/A 34562-2025 georefererad karta.tif", "A 34562-2025")</f>
        <v/>
      </c>
      <c r="AA9">
        <f>HYPERLINK("https://klasma.github.io/Logging_1471/klagomål/A 34562-2025 FSC-klagomål.docx", "A 34562-2025")</f>
        <v/>
      </c>
      <c r="AB9">
        <f>HYPERLINK("https://klasma.github.io/Logging_1471/klagomålsmail/A 34562-2025 FSC-klagomål mail.docx", "A 34562-2025")</f>
        <v/>
      </c>
      <c r="AC9">
        <f>HYPERLINK("https://klasma.github.io/Logging_1471/tillsyn/A 34562-2025 tillsynsbegäran.docx", "A 34562-2025")</f>
        <v/>
      </c>
      <c r="AD9">
        <f>HYPERLINK("https://klasma.github.io/Logging_1471/tillsynsmail/A 34562-2025 tillsynsbegäran mail.docx", "A 34562-2025")</f>
        <v/>
      </c>
    </row>
    <row r="10" ht="15" customHeight="1">
      <c r="A10" t="inlineStr">
        <is>
          <t>A 34395-2025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45846</v>
      </c>
      <c r="E10" s="1" t="n">
        <v>46318</v>
      </c>
      <c r="F10" t="inlineStr">
        <is>
          <t>VÄSTRA GÖTALANDS LÄN</t>
        </is>
      </c>
      <c r="G10" t="inlineStr">
        <is>
          <t>GÖTENE</t>
        </is>
      </c>
      <c r="I10" t="n">
        <v>11.1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Rävticka
Strimspindling</t>
        </is>
      </c>
      <c r="W10">
        <f>HYPERLINK("https://klasma.github.io/Logging_1471/artfynd/A 34395-2025 artfynd.xlsx", "A 34395-2025")</f>
        <v/>
      </c>
      <c r="X10">
        <f>HYPERLINK("https://klasma.github.io/Logging_1471/kartor/A 34395-2025 karta.png", "A 34395-2025")</f>
        <v/>
      </c>
      <c r="Y10">
        <f>HYPERLINK("https://klasma.github.io/Logging_1471/kartor_geotiff/A 34395-2025 georefererad karta.tif", "A 34395-2025")</f>
        <v/>
      </c>
      <c r="AA10">
        <f>HYPERLINK("https://klasma.github.io/Logging_1471/klagomål/A 34395-2025 FSC-klagomål.docx", "A 34395-2025")</f>
        <v/>
      </c>
      <c r="AB10">
        <f>HYPERLINK("https://klasma.github.io/Logging_1471/klagomålsmail/A 34395-2025 FSC-klagomål mail.docx", "A 34395-2025")</f>
        <v/>
      </c>
      <c r="AC10">
        <f>HYPERLINK("https://klasma.github.io/Logging_1471/tillsyn/A 34395-2025 tillsynsbegäran.docx", "A 34395-2025")</f>
        <v/>
      </c>
      <c r="AD10">
        <f>HYPERLINK("https://klasma.github.io/Logging_1471/tillsynsmail/A 34395-2025 tillsynsbegäran mail.docx", "A 34395-2025")</f>
        <v/>
      </c>
    </row>
    <row r="11" ht="15" customHeight="1">
      <c r="A11" t="inlineStr">
        <is>
          <t>A 32140-2026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46234</v>
      </c>
      <c r="E11" s="1" t="n">
        <v>46318</v>
      </c>
      <c r="F11" t="inlineStr">
        <is>
          <t>VÄSTRA GÖTALANDS LÄN</t>
        </is>
      </c>
      <c r="G11" t="inlineStr">
        <is>
          <t>GÖTENE</t>
        </is>
      </c>
      <c r="I11" t="n">
        <v>9.800000000000001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0</v>
      </c>
      <c r="V11" s="2" t="inlineStr">
        <is>
          <t>Guldlockmossa
Rostfläck</t>
        </is>
      </c>
      <c r="W11">
        <f>HYPERLINK("https://klasma.github.io/Logging_1471/artfynd/A 32140-2026 artfynd.xlsx", "A 32140-2026")</f>
        <v/>
      </c>
      <c r="X11">
        <f>HYPERLINK("https://klasma.github.io/Logging_1471/kartor/A 32140-2026 karta.png", "A 32140-2026")</f>
        <v/>
      </c>
      <c r="Y11">
        <f>HYPERLINK("https://klasma.github.io/Logging_1471/kartor_geotiff/A 32140-2026 georefererad karta.tif", "A 32140-2026")</f>
        <v/>
      </c>
      <c r="AA11">
        <f>HYPERLINK("https://klasma.github.io/Logging_1471/klagomål/A 32140-2026 FSC-klagomål.docx", "A 32140-2026")</f>
        <v/>
      </c>
      <c r="AB11">
        <f>HYPERLINK("https://klasma.github.io/Logging_1471/klagomålsmail/A 32140-2026 FSC-klagomål mail.docx", "A 32140-2026")</f>
        <v/>
      </c>
      <c r="AC11">
        <f>HYPERLINK("https://klasma.github.io/Logging_1471/tillsyn/A 32140-2026 tillsynsbegäran.docx", "A 32140-2026")</f>
        <v/>
      </c>
      <c r="AD11">
        <f>HYPERLINK("https://klasma.github.io/Logging_1471/tillsynsmail/A 32140-2026 tillsynsbegäran mail.docx", "A 32140-2026")</f>
        <v/>
      </c>
    </row>
    <row r="12" ht="15" customHeight="1">
      <c r="A12" t="inlineStr">
        <is>
          <t>A 39839-2026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46290</v>
      </c>
      <c r="E12" s="1" t="n">
        <v>46318</v>
      </c>
      <c r="F12" t="inlineStr">
        <is>
          <t>VÄSTRA GÖTALANDS LÄN</t>
        </is>
      </c>
      <c r="G12" t="inlineStr">
        <is>
          <t>GÖTENE</t>
        </is>
      </c>
      <c r="H12" t="inlineStr">
        <is>
          <t>Sveaskog</t>
        </is>
      </c>
      <c r="I12" t="n">
        <v>2.9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5</v>
      </c>
      <c r="U12" t="n">
        <v>0</v>
      </c>
      <c r="V12" s="2" t="inlineStr">
        <is>
          <t>Fransig jordstjärna
Kragjordstjärna</t>
        </is>
      </c>
      <c r="W12">
        <f>HYPERLINK("https://klasma.github.io/Logging_1471/artfynd/A 39839-2026 artfynd.xlsx", "A 39839-2026")</f>
        <v/>
      </c>
      <c r="X12">
        <f>HYPERLINK("https://klasma.github.io/Logging_1471/kartor/A 39839-2026 karta.png", "A 39839-2026")</f>
        <v/>
      </c>
      <c r="Y12">
        <f>HYPERLINK("https://klasma.github.io/Logging_1471/kartor_geotiff/A 39839-2026 georefererad karta.tif", "A 39839-2026")</f>
        <v/>
      </c>
      <c r="AA12">
        <f>HYPERLINK("https://klasma.github.io/Logging_1471/klagomål/A 39839-2026 FSC-klagomål.docx", "A 39839-2026")</f>
        <v/>
      </c>
      <c r="AB12">
        <f>HYPERLINK("https://klasma.github.io/Logging_1471/klagomålsmail/A 39839-2026 FSC-klagomål mail.docx", "A 39839-2026")</f>
        <v/>
      </c>
      <c r="AC12">
        <f>HYPERLINK("https://klasma.github.io/Logging_1471/tillsyn/A 39839-2026 tillsynsbegäran.docx", "A 39839-2026")</f>
        <v/>
      </c>
      <c r="AD12">
        <f>HYPERLINK("https://klasma.github.io/Logging_1471/tillsynsmail/A 39839-2026 tillsynsbegäran mail.docx", "A 39839-2026")</f>
        <v/>
      </c>
    </row>
    <row r="13" ht="15" customHeight="1">
      <c r="A13" t="inlineStr">
        <is>
          <t>A 41722-2022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44827</v>
      </c>
      <c r="E13" s="1" t="n">
        <v>46318</v>
      </c>
      <c r="F13" t="inlineStr">
        <is>
          <t>VÄSTRA GÖTALANDS LÄN</t>
        </is>
      </c>
      <c r="G13" t="inlineStr">
        <is>
          <t>GÖTENE</t>
        </is>
      </c>
      <c r="I13" t="n">
        <v>0.4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Svinrot</t>
        </is>
      </c>
      <c r="W13">
        <f>HYPERLINK("https://klasma.github.io/Logging_1471/artfynd/A 41722-2022 artfynd.xlsx", "A 41722-2022")</f>
        <v/>
      </c>
      <c r="X13">
        <f>HYPERLINK("https://klasma.github.io/Logging_1471/kartor/A 41722-2022 karta.png", "A 41722-2022")</f>
        <v/>
      </c>
      <c r="Y13">
        <f>HYPERLINK("https://klasma.github.io/Logging_1471/kartor_geotiff/A 41722-2022 georefererad karta.tif", "A 41722-2022")</f>
        <v/>
      </c>
      <c r="AA13">
        <f>HYPERLINK("https://klasma.github.io/Logging_1471/klagomål/A 41722-2022 FSC-klagomål.docx", "A 41722-2022")</f>
        <v/>
      </c>
      <c r="AB13">
        <f>HYPERLINK("https://klasma.github.io/Logging_1471/klagomålsmail/A 41722-2022 FSC-klagomål mail.docx", "A 41722-2022")</f>
        <v/>
      </c>
      <c r="AC13">
        <f>HYPERLINK("https://klasma.github.io/Logging_1471/tillsyn/A 41722-2022 tillsynsbegäran.docx", "A 41722-2022")</f>
        <v/>
      </c>
      <c r="AD13">
        <f>HYPERLINK("https://klasma.github.io/Logging_1471/tillsynsmail/A 41722-2022 tillsynsbegäran mail.docx", "A 41722-2022")</f>
        <v/>
      </c>
    </row>
    <row r="14" ht="15" customHeight="1">
      <c r="A14" t="inlineStr">
        <is>
          <t>A 19083-2022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44691</v>
      </c>
      <c r="E14" s="1" t="n">
        <v>46318</v>
      </c>
      <c r="F14" t="inlineStr">
        <is>
          <t>VÄSTRA GÖTALANDS LÄN</t>
        </is>
      </c>
      <c r="G14" t="inlineStr">
        <is>
          <t>GÖTENE</t>
        </is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s="2" t="inlineStr">
        <is>
          <t>Läderbagge</t>
        </is>
      </c>
      <c r="W14">
        <f>HYPERLINK("https://klasma.github.io/Logging_1471/artfynd/A 19083-2022 artfynd.xlsx", "A 19083-2022")</f>
        <v/>
      </c>
      <c r="X14">
        <f>HYPERLINK("https://klasma.github.io/Logging_1471/kartor/A 19083-2022 karta.png", "A 19083-2022")</f>
        <v/>
      </c>
      <c r="Y14">
        <f>HYPERLINK("https://klasma.github.io/Logging_1471/kartor_geotiff/A 19083-2022 georefererad karta.tif", "A 19083-2022")</f>
        <v/>
      </c>
      <c r="AA14">
        <f>HYPERLINK("https://klasma.github.io/Logging_1471/klagomål/A 19083-2022 FSC-klagomål.docx", "A 19083-2022")</f>
        <v/>
      </c>
      <c r="AB14">
        <f>HYPERLINK("https://klasma.github.io/Logging_1471/klagomålsmail/A 19083-2022 FSC-klagomål mail.docx", "A 19083-2022")</f>
        <v/>
      </c>
      <c r="AC14">
        <f>HYPERLINK("https://klasma.github.io/Logging_1471/tillsyn/A 19083-2022 tillsynsbegäran.docx", "A 19083-2022")</f>
        <v/>
      </c>
      <c r="AD14">
        <f>HYPERLINK("https://klasma.github.io/Logging_1471/tillsynsmail/A 19083-2022 tillsynsbegäran mail.docx", "A 19083-2022")</f>
        <v/>
      </c>
    </row>
    <row r="15" ht="15" customHeight="1">
      <c r="A15" t="inlineStr">
        <is>
          <t>A 14296-2023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45011</v>
      </c>
      <c r="E15" s="1" t="n">
        <v>46318</v>
      </c>
      <c r="F15" t="inlineStr">
        <is>
          <t>VÄSTRA GÖTALANDS LÄN</t>
        </is>
      </c>
      <c r="G15" t="inlineStr">
        <is>
          <t>GÖTENE</t>
        </is>
      </c>
      <c r="I15" t="n">
        <v>1.7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s="2" t="inlineStr">
        <is>
          <t>Pilgrimsfalk</t>
        </is>
      </c>
      <c r="W15">
        <f>HYPERLINK("https://klasma.github.io/Logging_1471/artfynd/A 14296-2023 artfynd.xlsx", "A 14296-2023")</f>
        <v/>
      </c>
      <c r="X15">
        <f>HYPERLINK("https://klasma.github.io/Logging_1471/kartor/A 14296-2023 karta.png", "A 14296-2023")</f>
        <v/>
      </c>
      <c r="Y15">
        <f>HYPERLINK("https://klasma.github.io/Logging_1471/kartor_geotiff/A 14296-2023 georefererad karta.tif", "A 14296-2023")</f>
        <v/>
      </c>
      <c r="AA15">
        <f>HYPERLINK("https://klasma.github.io/Logging_1471/klagomål/A 14296-2023 FSC-klagomål.docx", "A 14296-2023")</f>
        <v/>
      </c>
      <c r="AB15">
        <f>HYPERLINK("https://klasma.github.io/Logging_1471/klagomålsmail/A 14296-2023 FSC-klagomål mail.docx", "A 14296-2023")</f>
        <v/>
      </c>
      <c r="AC15">
        <f>HYPERLINK("https://klasma.github.io/Logging_1471/tillsyn/A 14296-2023 tillsynsbegäran.docx", "A 14296-2023")</f>
        <v/>
      </c>
      <c r="AD15">
        <f>HYPERLINK("https://klasma.github.io/Logging_1471/tillsynsmail/A 14296-2023 tillsynsbegäran mail.docx", "A 14296-2023")</f>
        <v/>
      </c>
      <c r="AE15">
        <f>HYPERLINK("https://klasma.github.io/Logging_1471/fåglar/A 14296-2023 prioriterade fågelarter.docx", "A 14296-2023")</f>
        <v/>
      </c>
    </row>
    <row r="16" ht="15" customHeight="1">
      <c r="A16" t="inlineStr">
        <is>
          <t>A 32909-2025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45839</v>
      </c>
      <c r="E16" s="1" t="n">
        <v>46318</v>
      </c>
      <c r="F16" t="inlineStr">
        <is>
          <t>VÄSTRA GÖTALANDS LÄN</t>
        </is>
      </c>
      <c r="G16" t="inlineStr">
        <is>
          <t>GÖTENE</t>
        </is>
      </c>
      <c r="I16" t="n">
        <v>1.1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Jungfrulin</t>
        </is>
      </c>
      <c r="W16">
        <f>HYPERLINK("https://klasma.github.io/Logging_1471/artfynd/A 32909-2025 artfynd.xlsx", "A 32909-2025")</f>
        <v/>
      </c>
      <c r="X16">
        <f>HYPERLINK("https://klasma.github.io/Logging_1471/kartor/A 32909-2025 karta.png", "A 32909-2025")</f>
        <v/>
      </c>
      <c r="Y16">
        <f>HYPERLINK("https://klasma.github.io/Logging_1471/kartor_geotiff/A 32909-2025 georefererad karta.tif", "A 32909-2025")</f>
        <v/>
      </c>
      <c r="AA16">
        <f>HYPERLINK("https://klasma.github.io/Logging_1471/klagomål/A 32909-2025 FSC-klagomål.docx", "A 32909-2025")</f>
        <v/>
      </c>
      <c r="AB16">
        <f>HYPERLINK("https://klasma.github.io/Logging_1471/klagomålsmail/A 32909-2025 FSC-klagomål mail.docx", "A 32909-2025")</f>
        <v/>
      </c>
      <c r="AC16">
        <f>HYPERLINK("https://klasma.github.io/Logging_1471/tillsyn/A 32909-2025 tillsynsbegäran.docx", "A 32909-2025")</f>
        <v/>
      </c>
      <c r="AD16">
        <f>HYPERLINK("https://klasma.github.io/Logging_1471/tillsynsmail/A 32909-2025 tillsynsbegäran mail.docx", "A 32909-2025")</f>
        <v/>
      </c>
    </row>
    <row r="17" ht="15" customHeight="1">
      <c r="A17" t="inlineStr">
        <is>
          <t>A 47393-2025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45930</v>
      </c>
      <c r="E17" s="1" t="n">
        <v>46318</v>
      </c>
      <c r="F17" t="inlineStr">
        <is>
          <t>VÄSTRA GÖTALANDS LÄN</t>
        </is>
      </c>
      <c r="G17" t="inlineStr">
        <is>
          <t>GÖTENE</t>
        </is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Korallticka</t>
        </is>
      </c>
      <c r="W17">
        <f>HYPERLINK("https://klasma.github.io/Logging_1471/artfynd/A 47393-2025 artfynd.xlsx", "A 47393-2025")</f>
        <v/>
      </c>
      <c r="X17">
        <f>HYPERLINK("https://klasma.github.io/Logging_1471/kartor/A 47393-2025 karta.png", "A 47393-2025")</f>
        <v/>
      </c>
      <c r="Y17">
        <f>HYPERLINK("https://klasma.github.io/Logging_1471/kartor_geotiff/A 47393-2025 georefererad karta.tif", "A 47393-2025")</f>
        <v/>
      </c>
      <c r="AA17">
        <f>HYPERLINK("https://klasma.github.io/Logging_1471/klagomål/A 47393-2025 FSC-klagomål.docx", "A 47393-2025")</f>
        <v/>
      </c>
      <c r="AB17">
        <f>HYPERLINK("https://klasma.github.io/Logging_1471/klagomålsmail/A 47393-2025 FSC-klagomål mail.docx", "A 47393-2025")</f>
        <v/>
      </c>
      <c r="AC17">
        <f>HYPERLINK("https://klasma.github.io/Logging_1471/tillsyn/A 47393-2025 tillsynsbegäran.docx", "A 47393-2025")</f>
        <v/>
      </c>
      <c r="AD17">
        <f>HYPERLINK("https://klasma.github.io/Logging_1471/tillsynsmail/A 47393-2025 tillsynsbegäran mail.docx", "A 47393-2025")</f>
        <v/>
      </c>
    </row>
    <row r="18" ht="15" customHeight="1">
      <c r="A18" t="inlineStr">
        <is>
          <t>A 18647-2025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45763</v>
      </c>
      <c r="E18" s="1" t="n">
        <v>46318</v>
      </c>
      <c r="F18" t="inlineStr">
        <is>
          <t>VÄSTRA GÖTALANDS LÄN</t>
        </is>
      </c>
      <c r="G18" t="inlineStr">
        <is>
          <t>GÖTENE</t>
        </is>
      </c>
      <c r="H18" t="inlineStr">
        <is>
          <t>Kommuner</t>
        </is>
      </c>
      <c r="I18" t="n">
        <v>3.7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Tibast</t>
        </is>
      </c>
      <c r="W18">
        <f>HYPERLINK("https://klasma.github.io/Logging_1471/artfynd/A 18647-2025 artfynd.xlsx", "A 18647-2025")</f>
        <v/>
      </c>
      <c r="X18">
        <f>HYPERLINK("https://klasma.github.io/Logging_1471/kartor/A 18647-2025 karta.png", "A 18647-2025")</f>
        <v/>
      </c>
      <c r="Y18">
        <f>HYPERLINK("https://klasma.github.io/Logging_1471/kartor_geotiff/A 18647-2025 georefererad karta.tif", "A 18647-2025")</f>
        <v/>
      </c>
      <c r="AA18">
        <f>HYPERLINK("https://klasma.github.io/Logging_1471/klagomål/A 18647-2025 FSC-klagomål.docx", "A 18647-2025")</f>
        <v/>
      </c>
      <c r="AB18">
        <f>HYPERLINK("https://klasma.github.io/Logging_1471/klagomålsmail/A 18647-2025 FSC-klagomål mail.docx", "A 18647-2025")</f>
        <v/>
      </c>
      <c r="AC18">
        <f>HYPERLINK("https://klasma.github.io/Logging_1471/tillsyn/A 18647-2025 tillsynsbegäran.docx", "A 18647-2025")</f>
        <v/>
      </c>
      <c r="AD18">
        <f>HYPERLINK("https://klasma.github.io/Logging_1471/tillsynsmail/A 18647-2025 tillsynsbegäran mail.docx", "A 18647-2025")</f>
        <v/>
      </c>
    </row>
    <row r="19" ht="15" customHeight="1">
      <c r="A19" t="inlineStr">
        <is>
          <t>A 50366-2025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45944</v>
      </c>
      <c r="E19" s="1" t="n">
        <v>46318</v>
      </c>
      <c r="F19" t="inlineStr">
        <is>
          <t>VÄSTRA GÖTALANDS LÄN</t>
        </is>
      </c>
      <c r="G19" t="inlineStr">
        <is>
          <t>GÖTENE</t>
        </is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Korallticka</t>
        </is>
      </c>
      <c r="W19">
        <f>HYPERLINK("https://klasma.github.io/Logging_1471/artfynd/A 50366-2025 artfynd.xlsx", "A 50366-2025")</f>
        <v/>
      </c>
      <c r="X19">
        <f>HYPERLINK("https://klasma.github.io/Logging_1471/kartor/A 50366-2025 karta.png", "A 50366-2025")</f>
        <v/>
      </c>
      <c r="Y19">
        <f>HYPERLINK("https://klasma.github.io/Logging_1471/kartor_geotiff/A 50366-2025 georefererad karta.tif", "A 50366-2025")</f>
        <v/>
      </c>
      <c r="AA19">
        <f>HYPERLINK("https://klasma.github.io/Logging_1471/klagomål/A 50366-2025 FSC-klagomål.docx", "A 50366-2025")</f>
        <v/>
      </c>
      <c r="AB19">
        <f>HYPERLINK("https://klasma.github.io/Logging_1471/klagomålsmail/A 50366-2025 FSC-klagomål mail.docx", "A 50366-2025")</f>
        <v/>
      </c>
      <c r="AC19">
        <f>HYPERLINK("https://klasma.github.io/Logging_1471/tillsyn/A 50366-2025 tillsynsbegäran.docx", "A 50366-2025")</f>
        <v/>
      </c>
      <c r="AD19">
        <f>HYPERLINK("https://klasma.github.io/Logging_1471/tillsynsmail/A 50366-2025 tillsynsbegäran mail.docx", "A 50366-2025")</f>
        <v/>
      </c>
    </row>
    <row r="20" ht="15" customHeight="1">
      <c r="A20" t="inlineStr">
        <is>
          <t>A 41724-2022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44827</v>
      </c>
      <c r="E20" s="1" t="n">
        <v>46318</v>
      </c>
      <c r="F20" t="inlineStr">
        <is>
          <t>VÄSTRA GÖTALANDS LÄN</t>
        </is>
      </c>
      <c r="G20" t="inlineStr">
        <is>
          <t>GÖTENE</t>
        </is>
      </c>
      <c r="I20" t="n">
        <v>1.9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Svinrot</t>
        </is>
      </c>
      <c r="W20">
        <f>HYPERLINK("https://klasma.github.io/Logging_1471/artfynd/A 41724-2022 artfynd.xlsx", "A 41724-2022")</f>
        <v/>
      </c>
      <c r="X20">
        <f>HYPERLINK("https://klasma.github.io/Logging_1471/kartor/A 41724-2022 karta.png", "A 41724-2022")</f>
        <v/>
      </c>
      <c r="Y20">
        <f>HYPERLINK("https://klasma.github.io/Logging_1471/kartor_geotiff/A 41724-2022 georefererad karta.tif", "A 41724-2022")</f>
        <v/>
      </c>
      <c r="AA20">
        <f>HYPERLINK("https://klasma.github.io/Logging_1471/klagomål/A 41724-2022 FSC-klagomål.docx", "A 41724-2022")</f>
        <v/>
      </c>
      <c r="AB20">
        <f>HYPERLINK("https://klasma.github.io/Logging_1471/klagomålsmail/A 41724-2022 FSC-klagomål mail.docx", "A 41724-2022")</f>
        <v/>
      </c>
      <c r="AC20">
        <f>HYPERLINK("https://klasma.github.io/Logging_1471/tillsyn/A 41724-2022 tillsynsbegäran.docx", "A 41724-2022")</f>
        <v/>
      </c>
      <c r="AD20">
        <f>HYPERLINK("https://klasma.github.io/Logging_1471/tillsynsmail/A 41724-2022 tillsynsbegäran mail.docx", "A 41724-2022")</f>
        <v/>
      </c>
    </row>
    <row r="21" ht="15" customHeight="1">
      <c r="A21" t="inlineStr">
        <is>
          <t>A 5086-2024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45330</v>
      </c>
      <c r="E21" s="1" t="n">
        <v>46318</v>
      </c>
      <c r="F21" t="inlineStr">
        <is>
          <t>VÄSTRA GÖTALANDS LÄN</t>
        </is>
      </c>
      <c r="G21" t="inlineStr">
        <is>
          <t>GÖTENE</t>
        </is>
      </c>
      <c r="I21" t="n">
        <v>4.5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3</v>
      </c>
      <c r="U21" t="n">
        <v>1</v>
      </c>
      <c r="V21" s="2" t="inlineStr">
        <is>
          <t>Strävlosta</t>
        </is>
      </c>
      <c r="W21">
        <f>HYPERLINK("https://klasma.github.io/Logging_1471/artfynd/A 5086-2024 artfynd.xlsx", "A 5086-2024")</f>
        <v/>
      </c>
      <c r="X21">
        <f>HYPERLINK("https://klasma.github.io/Logging_1471/kartor/A 5086-2024 karta.png", "A 5086-2024")</f>
        <v/>
      </c>
      <c r="Y21">
        <f>HYPERLINK("https://klasma.github.io/Logging_1471/kartor_geotiff/A 5086-2024 georefererad karta.tif", "A 5086-2024")</f>
        <v/>
      </c>
      <c r="AA21">
        <f>HYPERLINK("https://klasma.github.io/Logging_1471/klagomål/A 5086-2024 FSC-klagomål.docx", "A 5086-2024")</f>
        <v/>
      </c>
      <c r="AB21">
        <f>HYPERLINK("https://klasma.github.io/Logging_1471/klagomålsmail/A 5086-2024 FSC-klagomål mail.docx", "A 5086-2024")</f>
        <v/>
      </c>
      <c r="AC21">
        <f>HYPERLINK("https://klasma.github.io/Logging_1471/tillsyn/A 5086-2024 tillsynsbegäran.docx", "A 5086-2024")</f>
        <v/>
      </c>
      <c r="AD21">
        <f>HYPERLINK("https://klasma.github.io/Logging_1471/tillsynsmail/A 5086-2024 tillsynsbegäran mail.docx", "A 5086-2024")</f>
        <v/>
      </c>
    </row>
    <row r="22" ht="15" customHeight="1">
      <c r="A22" t="inlineStr">
        <is>
          <t>A 28273-2023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45099</v>
      </c>
      <c r="E22" s="1" t="n">
        <v>46318</v>
      </c>
      <c r="F22" t="inlineStr">
        <is>
          <t>VÄSTRA GÖTALANDS LÄN</t>
        </is>
      </c>
      <c r="G22" t="inlineStr">
        <is>
          <t>GÖTENE</t>
        </is>
      </c>
      <c r="I22" t="n">
        <v>5.1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Åkergroda</t>
        </is>
      </c>
      <c r="W22">
        <f>HYPERLINK("https://klasma.github.io/Logging_1471/artfynd/A 28273-2023 artfynd.xlsx", "A 28273-2023")</f>
        <v/>
      </c>
      <c r="X22">
        <f>HYPERLINK("https://klasma.github.io/Logging_1471/kartor/A 28273-2023 karta.png", "A 28273-2023")</f>
        <v/>
      </c>
      <c r="Y22">
        <f>HYPERLINK("https://klasma.github.io/Logging_1471/kartor_geotiff/A 28273-2023 georefererad karta.tif", "A 28273-2023")</f>
        <v/>
      </c>
      <c r="AA22">
        <f>HYPERLINK("https://klasma.github.io/Logging_1471/klagomål/A 28273-2023 FSC-klagomål.docx", "A 28273-2023")</f>
        <v/>
      </c>
      <c r="AB22">
        <f>HYPERLINK("https://klasma.github.io/Logging_1471/klagomålsmail/A 28273-2023 FSC-klagomål mail.docx", "A 28273-2023")</f>
        <v/>
      </c>
      <c r="AC22">
        <f>HYPERLINK("https://klasma.github.io/Logging_1471/tillsyn/A 28273-2023 tillsynsbegäran.docx", "A 28273-2023")</f>
        <v/>
      </c>
      <c r="AD22">
        <f>HYPERLINK("https://klasma.github.io/Logging_1471/tillsynsmail/A 28273-2023 tillsynsbegäran mail.docx", "A 28273-2023")</f>
        <v/>
      </c>
    </row>
    <row r="23" ht="15" customHeight="1">
      <c r="A23" t="inlineStr">
        <is>
          <t>A 31326-2026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46219</v>
      </c>
      <c r="E23" s="1" t="n">
        <v>46318</v>
      </c>
      <c r="F23" t="inlineStr">
        <is>
          <t>VÄSTRA GÖTALANDS LÄN</t>
        </is>
      </c>
      <c r="G23" t="inlineStr">
        <is>
          <t>GÖTENE</t>
        </is>
      </c>
      <c r="I23" t="n">
        <v>1.9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Talltita</t>
        </is>
      </c>
      <c r="W23">
        <f>HYPERLINK("https://klasma.github.io/Logging_1471/artfynd/A 31326-2026 artfynd.xlsx", "A 31326-2026")</f>
        <v/>
      </c>
      <c r="X23">
        <f>HYPERLINK("https://klasma.github.io/Logging_1471/kartor/A 31326-2026 karta.png", "A 31326-2026")</f>
        <v/>
      </c>
      <c r="Y23">
        <f>HYPERLINK("https://klasma.github.io/Logging_1471/kartor_geotiff/A 31326-2026 georefererad karta.tif", "A 31326-2026")</f>
        <v/>
      </c>
      <c r="AA23">
        <f>HYPERLINK("https://klasma.github.io/Logging_1471/klagomål/A 31326-2026 FSC-klagomål.docx", "A 31326-2026")</f>
        <v/>
      </c>
      <c r="AB23">
        <f>HYPERLINK("https://klasma.github.io/Logging_1471/klagomålsmail/A 31326-2026 FSC-klagomål mail.docx", "A 31326-2026")</f>
        <v/>
      </c>
      <c r="AC23">
        <f>HYPERLINK("https://klasma.github.io/Logging_1471/tillsyn/A 31326-2026 tillsynsbegäran.docx", "A 31326-2026")</f>
        <v/>
      </c>
      <c r="AD23">
        <f>HYPERLINK("https://klasma.github.io/Logging_1471/tillsynsmail/A 31326-2026 tillsynsbegäran mail.docx", "A 31326-2026")</f>
        <v/>
      </c>
      <c r="AE23">
        <f>HYPERLINK("https://klasma.github.io/Logging_1471/fåglar/A 31326-2026 prioriterade fågelarter.docx", "A 31326-2026")</f>
        <v/>
      </c>
    </row>
    <row r="24" ht="15" customHeight="1">
      <c r="A24" t="inlineStr">
        <is>
          <t>A 32224-2026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46237</v>
      </c>
      <c r="E24" s="1" t="n">
        <v>46318</v>
      </c>
      <c r="F24" t="inlineStr">
        <is>
          <t>VÄSTRA GÖTALANDS LÄN</t>
        </is>
      </c>
      <c r="G24" t="inlineStr">
        <is>
          <t>GÖTENE</t>
        </is>
      </c>
      <c r="I24" t="n">
        <v>1.3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Backmåra</t>
        </is>
      </c>
      <c r="W24">
        <f>HYPERLINK("https://klasma.github.io/Logging_1471/artfynd/A 32224-2026 artfynd.xlsx", "A 32224-2026")</f>
        <v/>
      </c>
      <c r="X24">
        <f>HYPERLINK("https://klasma.github.io/Logging_1471/kartor/A 32224-2026 karta.png", "A 32224-2026")</f>
        <v/>
      </c>
      <c r="Y24">
        <f>HYPERLINK("https://klasma.github.io/Logging_1471/kartor_geotiff/A 32224-2026 georefererad karta.tif", "A 32224-2026")</f>
        <v/>
      </c>
      <c r="AA24">
        <f>HYPERLINK("https://klasma.github.io/Logging_1471/klagomål/A 32224-2026 FSC-klagomål.docx", "A 32224-2026")</f>
        <v/>
      </c>
      <c r="AB24">
        <f>HYPERLINK("https://klasma.github.io/Logging_1471/klagomålsmail/A 32224-2026 FSC-klagomål mail.docx", "A 32224-2026")</f>
        <v/>
      </c>
      <c r="AC24">
        <f>HYPERLINK("https://klasma.github.io/Logging_1471/tillsyn/A 32224-2026 tillsynsbegäran.docx", "A 32224-2026")</f>
        <v/>
      </c>
      <c r="AD24">
        <f>HYPERLINK("https://klasma.github.io/Logging_1471/tillsynsmail/A 32224-2026 tillsynsbegäran mail.docx", "A 32224-2026")</f>
        <v/>
      </c>
    </row>
    <row r="25" ht="15" customHeight="1">
      <c r="A25" t="inlineStr">
        <is>
          <t>A 45211-2022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44844</v>
      </c>
      <c r="E25" s="1" t="n">
        <v>46318</v>
      </c>
      <c r="F25" t="inlineStr">
        <is>
          <t>VÄSTRA GÖTALANDS LÄN</t>
        </is>
      </c>
      <c r="G25" t="inlineStr">
        <is>
          <t>GÖTENE</t>
        </is>
      </c>
      <c r="I25" t="n">
        <v>2.3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Kamjordstjärna</t>
        </is>
      </c>
      <c r="W25">
        <f>HYPERLINK("https://klasma.github.io/Logging_1471/artfynd/A 45211-2022 artfynd.xlsx", "A 45211-2022")</f>
        <v/>
      </c>
      <c r="X25">
        <f>HYPERLINK("https://klasma.github.io/Logging_1471/kartor/A 45211-2022 karta.png", "A 45211-2022")</f>
        <v/>
      </c>
      <c r="Y25">
        <f>HYPERLINK("https://klasma.github.io/Logging_1471/kartor_geotiff/A 45211-2022 georefererad karta.tif", "A 45211-2022")</f>
        <v/>
      </c>
      <c r="AA25">
        <f>HYPERLINK("https://klasma.github.io/Logging_1471/klagomål/A 45211-2022 FSC-klagomål.docx", "A 45211-2022")</f>
        <v/>
      </c>
      <c r="AB25">
        <f>HYPERLINK("https://klasma.github.io/Logging_1471/klagomålsmail/A 45211-2022 FSC-klagomål mail.docx", "A 45211-2022")</f>
        <v/>
      </c>
      <c r="AC25">
        <f>HYPERLINK("https://klasma.github.io/Logging_1471/tillsyn/A 45211-2022 tillsynsbegäran.docx", "A 45211-2022")</f>
        <v/>
      </c>
      <c r="AD25">
        <f>HYPERLINK("https://klasma.github.io/Logging_1471/tillsynsmail/A 45211-2022 tillsynsbegäran mail.docx", "A 45211-2022")</f>
        <v/>
      </c>
    </row>
    <row r="26" ht="15" customHeight="1">
      <c r="A26" t="inlineStr">
        <is>
          <t>A 33478-2026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46247</v>
      </c>
      <c r="E26" s="1" t="n">
        <v>46318</v>
      </c>
      <c r="F26" t="inlineStr">
        <is>
          <t>VÄSTRA GÖTALANDS LÄN</t>
        </is>
      </c>
      <c r="G26" t="inlineStr">
        <is>
          <t>GÖTENE</t>
        </is>
      </c>
      <c r="I26" t="n">
        <v>1.5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Rödbrun jordstjärna</t>
        </is>
      </c>
      <c r="W26">
        <f>HYPERLINK("https://klasma.github.io/Logging_1471/artfynd/A 33478-2026 artfynd.xlsx", "A 33478-2026")</f>
        <v/>
      </c>
      <c r="X26">
        <f>HYPERLINK("https://klasma.github.io/Logging_1471/kartor/A 33478-2026 karta.png", "A 33478-2026")</f>
        <v/>
      </c>
      <c r="Y26">
        <f>HYPERLINK("https://klasma.github.io/Logging_1471/kartor_geotiff/A 33478-2026 georefererad karta.tif", "A 33478-2026")</f>
        <v/>
      </c>
      <c r="AA26">
        <f>HYPERLINK("https://klasma.github.io/Logging_1471/klagomål/A 33478-2026 FSC-klagomål.docx", "A 33478-2026")</f>
        <v/>
      </c>
      <c r="AB26">
        <f>HYPERLINK("https://klasma.github.io/Logging_1471/klagomålsmail/A 33478-2026 FSC-klagomål mail.docx", "A 33478-2026")</f>
        <v/>
      </c>
      <c r="AC26">
        <f>HYPERLINK("https://klasma.github.io/Logging_1471/tillsyn/A 33478-2026 tillsynsbegäran.docx", "A 33478-2026")</f>
        <v/>
      </c>
      <c r="AD26">
        <f>HYPERLINK("https://klasma.github.io/Logging_1471/tillsynsmail/A 33478-2026 tillsynsbegäran mail.docx", "A 33478-2026")</f>
        <v/>
      </c>
    </row>
    <row r="27" ht="15" customHeight="1">
      <c r="A27" t="inlineStr">
        <is>
          <t>S 840-2024</t>
        </is>
      </c>
      <c r="B27" t="inlineStr">
        <is>
          <t>samrådsanmälan</t>
        </is>
      </c>
      <c r="C27" t="inlineStr">
        <is>
          <t>Askåterföring</t>
        </is>
      </c>
      <c r="D27" s="1" t="n">
        <v>45372</v>
      </c>
      <c r="E27" s="1" t="n">
        <v>46318</v>
      </c>
      <c r="F27" t="inlineStr">
        <is>
          <t>VÄSTRA GÖTALANDS LÄN</t>
        </is>
      </c>
      <c r="G27" t="inlineStr">
        <is>
          <t>GÖTENE</t>
        </is>
      </c>
      <c r="I27" t="n">
        <v>55.4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Kandelabersvamp</t>
        </is>
      </c>
      <c r="W27">
        <f>HYPERLINK("https://klasma.github.io/Logging_1471/artfynd/S 840-2024 artfynd.xlsx", "S 840-2024")</f>
        <v/>
      </c>
      <c r="X27">
        <f>HYPERLINK("https://klasma.github.io/Logging_1471/kartor/S 840-2024 karta.png", "S 840-2024")</f>
        <v/>
      </c>
      <c r="Y27">
        <f>HYPERLINK("https://klasma.github.io/Logging_1471/kartor_geotiff/S 840-2024 georefererad karta.tif", "S 840-2024")</f>
        <v/>
      </c>
      <c r="AA27">
        <f>HYPERLINK("https://klasma.github.io/Logging_1471/klagomål/S 840-2024 FSC-klagomål.docx", "S 840-2024")</f>
        <v/>
      </c>
      <c r="AB27">
        <f>HYPERLINK("https://klasma.github.io/Logging_1471/klagomålsmail/S 840-2024 FSC-klagomål mail.docx", "S 840-2024")</f>
        <v/>
      </c>
      <c r="AC27">
        <f>HYPERLINK("https://klasma.github.io/Logging_1471/tillsyn/S 840-2024 tillsynsbegäran.docx", "S 840-2024")</f>
        <v/>
      </c>
      <c r="AD27">
        <f>HYPERLINK("https://klasma.github.io/Logging_1471/tillsynsmail/S 840-2024 tillsynsbegäran mail.docx", "S 840-2024")</f>
        <v/>
      </c>
    </row>
    <row r="28" ht="15" customHeight="1">
      <c r="A28" t="inlineStr">
        <is>
          <t>A 562-2022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44566</v>
      </c>
      <c r="E28" s="1" t="n">
        <v>46318</v>
      </c>
      <c r="F28" t="inlineStr">
        <is>
          <t>VÄSTRA GÖTALANDS LÄN</t>
        </is>
      </c>
      <c r="G28" t="inlineStr">
        <is>
          <t>GÖTENE</t>
        </is>
      </c>
      <c r="I28" t="n">
        <v>1.2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13357-2022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44645</v>
      </c>
      <c r="E29" s="1" t="n">
        <v>46318</v>
      </c>
      <c r="F29" t="inlineStr">
        <is>
          <t>VÄSTRA GÖTALANDS LÄN</t>
        </is>
      </c>
      <c r="G29" t="inlineStr">
        <is>
          <t>GÖTENE</t>
        </is>
      </c>
      <c r="I29" t="n">
        <v>0.7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13342-2022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44645</v>
      </c>
      <c r="E30" s="1" t="n">
        <v>46318</v>
      </c>
      <c r="F30" t="inlineStr">
        <is>
          <t>VÄSTRA GÖTALANDS LÄN</t>
        </is>
      </c>
      <c r="G30" t="inlineStr">
        <is>
          <t>GÖTENE</t>
        </is>
      </c>
      <c r="I30" t="n">
        <v>3.9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3708-2022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44586</v>
      </c>
      <c r="E31" s="1" t="n">
        <v>46318</v>
      </c>
      <c r="F31" t="inlineStr">
        <is>
          <t>VÄSTRA GÖTALANDS LÄN</t>
        </is>
      </c>
      <c r="G31" t="inlineStr">
        <is>
          <t>GÖTENE</t>
        </is>
      </c>
      <c r="I31" t="n">
        <v>1.1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63200-2021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44507</v>
      </c>
      <c r="E32" s="1" t="n">
        <v>46318</v>
      </c>
      <c r="F32" t="inlineStr">
        <is>
          <t>VÄSTRA GÖTALANDS LÄN</t>
        </is>
      </c>
      <c r="G32" t="inlineStr">
        <is>
          <t>GÖTENE</t>
        </is>
      </c>
      <c r="I32" t="n">
        <v>1.3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8786-2022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44614</v>
      </c>
      <c r="E33" s="1" t="n">
        <v>46318</v>
      </c>
      <c r="F33" t="inlineStr">
        <is>
          <t>VÄSTRA GÖTALANDS LÄN</t>
        </is>
      </c>
      <c r="G33" t="inlineStr">
        <is>
          <t>GÖTENE</t>
        </is>
      </c>
      <c r="H33" t="inlineStr">
        <is>
          <t>Kyrkan</t>
        </is>
      </c>
      <c r="I33" t="n">
        <v>8.1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16742-2022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44673</v>
      </c>
      <c r="E34" s="1" t="n">
        <v>46318</v>
      </c>
      <c r="F34" t="inlineStr">
        <is>
          <t>VÄSTRA GÖTALANDS LÄN</t>
        </is>
      </c>
      <c r="G34" t="inlineStr">
        <is>
          <t>GÖTENE</t>
        </is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48733-2022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44859</v>
      </c>
      <c r="E35" s="1" t="n">
        <v>46318</v>
      </c>
      <c r="F35" t="inlineStr">
        <is>
          <t>VÄSTRA GÖTALANDS LÄN</t>
        </is>
      </c>
      <c r="G35" t="inlineStr">
        <is>
          <t>GÖTENE</t>
        </is>
      </c>
      <c r="I35" t="n">
        <v>0.7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44507-2022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44840</v>
      </c>
      <c r="E36" s="1" t="n">
        <v>46318</v>
      </c>
      <c r="F36" t="inlineStr">
        <is>
          <t>VÄSTRA GÖTALANDS LÄN</t>
        </is>
      </c>
      <c r="G36" t="inlineStr">
        <is>
          <t>GÖTENE</t>
        </is>
      </c>
      <c r="I36" t="n">
        <v>0.6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561-2022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44566</v>
      </c>
      <c r="E37" s="1" t="n">
        <v>46318</v>
      </c>
      <c r="F37" t="inlineStr">
        <is>
          <t>VÄSTRA GÖTALANDS LÄN</t>
        </is>
      </c>
      <c r="G37" t="inlineStr">
        <is>
          <t>GÖTENE</t>
        </is>
      </c>
      <c r="I37" t="n">
        <v>4.6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18124-2022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44684</v>
      </c>
      <c r="E38" s="1" t="n">
        <v>46318</v>
      </c>
      <c r="F38" t="inlineStr">
        <is>
          <t>VÄSTRA GÖTALANDS LÄN</t>
        </is>
      </c>
      <c r="G38" t="inlineStr">
        <is>
          <t>GÖTENE</t>
        </is>
      </c>
      <c r="I38" t="n">
        <v>1.1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63198-2021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44507</v>
      </c>
      <c r="E39" s="1" t="n">
        <v>46318</v>
      </c>
      <c r="F39" t="inlineStr">
        <is>
          <t>VÄSTRA GÖTALANDS LÄN</t>
        </is>
      </c>
      <c r="G39" t="inlineStr">
        <is>
          <t>GÖTENE</t>
        </is>
      </c>
      <c r="I39" t="n">
        <v>0.6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2984-2022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44581</v>
      </c>
      <c r="E40" s="1" t="n">
        <v>46318</v>
      </c>
      <c r="F40" t="inlineStr">
        <is>
          <t>VÄSTRA GÖTALANDS LÄN</t>
        </is>
      </c>
      <c r="G40" t="inlineStr">
        <is>
          <t>GÖTENE</t>
        </is>
      </c>
      <c r="I40" t="n">
        <v>1.7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30432-2022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44761</v>
      </c>
      <c r="E41" s="1" t="n">
        <v>46318</v>
      </c>
      <c r="F41" t="inlineStr">
        <is>
          <t>VÄSTRA GÖTALANDS LÄN</t>
        </is>
      </c>
      <c r="G41" t="inlineStr">
        <is>
          <t>GÖTENE</t>
        </is>
      </c>
      <c r="I41" t="n">
        <v>0.7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6969-2022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44603</v>
      </c>
      <c r="E42" s="1" t="n">
        <v>46318</v>
      </c>
      <c r="F42" t="inlineStr">
        <is>
          <t>VÄSTRA GÖTALANDS LÄN</t>
        </is>
      </c>
      <c r="G42" t="inlineStr">
        <is>
          <t>GÖTENE</t>
        </is>
      </c>
      <c r="I42" t="n">
        <v>0.6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30128-2022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44757</v>
      </c>
      <c r="E43" s="1" t="n">
        <v>46318</v>
      </c>
      <c r="F43" t="inlineStr">
        <is>
          <t>VÄSTRA GÖTALANDS LÄN</t>
        </is>
      </c>
      <c r="G43" t="inlineStr">
        <is>
          <t>GÖTENE</t>
        </is>
      </c>
      <c r="I43" t="n">
        <v>0.7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46381-2022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44848</v>
      </c>
      <c r="E44" s="1" t="n">
        <v>46318</v>
      </c>
      <c r="F44" t="inlineStr">
        <is>
          <t>VÄSTRA GÖTALANDS LÄN</t>
        </is>
      </c>
      <c r="G44" t="inlineStr">
        <is>
          <t>GÖTENE</t>
        </is>
      </c>
      <c r="H44" t="inlineStr">
        <is>
          <t>Sveaskog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49968-2022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44865</v>
      </c>
      <c r="E45" s="1" t="n">
        <v>46318</v>
      </c>
      <c r="F45" t="inlineStr">
        <is>
          <t>VÄSTRA GÖTALANDS LÄN</t>
        </is>
      </c>
      <c r="G45" t="inlineStr">
        <is>
          <t>GÖTENE</t>
        </is>
      </c>
      <c r="I45" t="n">
        <v>2.9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36244-2022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44803</v>
      </c>
      <c r="E46" s="1" t="n">
        <v>46318</v>
      </c>
      <c r="F46" t="inlineStr">
        <is>
          <t>VÄSTRA GÖTALANDS LÄN</t>
        </is>
      </c>
      <c r="G46" t="inlineStr">
        <is>
          <t>GÖTENE</t>
        </is>
      </c>
      <c r="I46" t="n">
        <v>1.3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51451-2022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44869</v>
      </c>
      <c r="E47" s="1" t="n">
        <v>46318</v>
      </c>
      <c r="F47" t="inlineStr">
        <is>
          <t>VÄSTRA GÖTALANDS LÄN</t>
        </is>
      </c>
      <c r="G47" t="inlineStr">
        <is>
          <t>GÖTENE</t>
        </is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36381-2023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45152</v>
      </c>
      <c r="E48" s="1" t="n">
        <v>46318</v>
      </c>
      <c r="F48" t="inlineStr">
        <is>
          <t>VÄSTRA GÖTALANDS LÄN</t>
        </is>
      </c>
      <c r="G48" t="inlineStr">
        <is>
          <t>GÖTENE</t>
        </is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8330-2024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45352</v>
      </c>
      <c r="E49" s="1" t="n">
        <v>46318</v>
      </c>
      <c r="F49" t="inlineStr">
        <is>
          <t>VÄSTRA GÖTALANDS LÄN</t>
        </is>
      </c>
      <c r="G49" t="inlineStr">
        <is>
          <t>GÖTENE</t>
        </is>
      </c>
      <c r="I49" t="n">
        <v>2.1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61148-2021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44498</v>
      </c>
      <c r="E50" s="1" t="n">
        <v>46318</v>
      </c>
      <c r="F50" t="inlineStr">
        <is>
          <t>VÄSTRA GÖTALANDS LÄN</t>
        </is>
      </c>
      <c r="G50" t="inlineStr">
        <is>
          <t>GÖTENE</t>
        </is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38945-2022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44816</v>
      </c>
      <c r="E51" s="1" t="n">
        <v>46318</v>
      </c>
      <c r="F51" t="inlineStr">
        <is>
          <t>VÄSTRA GÖTALANDS LÄN</t>
        </is>
      </c>
      <c r="G51" t="inlineStr">
        <is>
          <t>GÖTENE</t>
        </is>
      </c>
      <c r="I51" t="n">
        <v>2.6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38195-2022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44812</v>
      </c>
      <c r="E52" s="1" t="n">
        <v>46318</v>
      </c>
      <c r="F52" t="inlineStr">
        <is>
          <t>VÄSTRA GÖTALANDS LÄN</t>
        </is>
      </c>
      <c r="G52" t="inlineStr">
        <is>
          <t>GÖTENE</t>
        </is>
      </c>
      <c r="H52" t="inlineStr">
        <is>
          <t>Övriga Aktiebolag</t>
        </is>
      </c>
      <c r="I52" t="n">
        <v>1.9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58418-2024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45634</v>
      </c>
      <c r="E53" s="1" t="n">
        <v>46318</v>
      </c>
      <c r="F53" t="inlineStr">
        <is>
          <t>VÄSTRA GÖTALANDS LÄN</t>
        </is>
      </c>
      <c r="G53" t="inlineStr">
        <is>
          <t>GÖTENE</t>
        </is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25434-2025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45800</v>
      </c>
      <c r="E54" s="1" t="n">
        <v>46318</v>
      </c>
      <c r="F54" t="inlineStr">
        <is>
          <t>VÄSTRA GÖTALANDS LÄN</t>
        </is>
      </c>
      <c r="G54" t="inlineStr">
        <is>
          <t>GÖTENE</t>
        </is>
      </c>
      <c r="I54" t="n">
        <v>1.6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25435-2025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45800</v>
      </c>
      <c r="E55" s="1" t="n">
        <v>46318</v>
      </c>
      <c r="F55" t="inlineStr">
        <is>
          <t>VÄSTRA GÖTALANDS LÄN</t>
        </is>
      </c>
      <c r="G55" t="inlineStr">
        <is>
          <t>GÖTENE</t>
        </is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25436-2025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45800</v>
      </c>
      <c r="E56" s="1" t="n">
        <v>46318</v>
      </c>
      <c r="F56" t="inlineStr">
        <is>
          <t>VÄSTRA GÖTALANDS LÄN</t>
        </is>
      </c>
      <c r="G56" t="inlineStr">
        <is>
          <t>GÖTENE</t>
        </is>
      </c>
      <c r="I56" t="n">
        <v>1.3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26105-2025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45805</v>
      </c>
      <c r="E57" s="1" t="n">
        <v>46318</v>
      </c>
      <c r="F57" t="inlineStr">
        <is>
          <t>VÄSTRA GÖTALANDS LÄN</t>
        </is>
      </c>
      <c r="G57" t="inlineStr">
        <is>
          <t>GÖTENE</t>
        </is>
      </c>
      <c r="I57" t="n">
        <v>5.3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10703-2025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45722</v>
      </c>
      <c r="E58" s="1" t="n">
        <v>46318</v>
      </c>
      <c r="F58" t="inlineStr">
        <is>
          <t>VÄSTRA GÖTALANDS LÄN</t>
        </is>
      </c>
      <c r="G58" t="inlineStr">
        <is>
          <t>GÖTENE</t>
        </is>
      </c>
      <c r="I58" t="n">
        <v>1.5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12450-2022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44638</v>
      </c>
      <c r="E59" s="1" t="n">
        <v>46318</v>
      </c>
      <c r="F59" t="inlineStr">
        <is>
          <t>VÄSTRA GÖTALANDS LÄN</t>
        </is>
      </c>
      <c r="G59" t="inlineStr">
        <is>
          <t>GÖTENE</t>
        </is>
      </c>
      <c r="I59" t="n">
        <v>1.6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21429-2022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44706</v>
      </c>
      <c r="E60" s="1" t="n">
        <v>46318</v>
      </c>
      <c r="F60" t="inlineStr">
        <is>
          <t>VÄSTRA GÖTALANDS LÄN</t>
        </is>
      </c>
      <c r="G60" t="inlineStr">
        <is>
          <t>GÖTENE</t>
        </is>
      </c>
      <c r="I60" t="n">
        <v>3.1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28390-2025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45819</v>
      </c>
      <c r="E61" s="1" t="n">
        <v>46318</v>
      </c>
      <c r="F61" t="inlineStr">
        <is>
          <t>VÄSTRA GÖTALANDS LÄN</t>
        </is>
      </c>
      <c r="G61" t="inlineStr">
        <is>
          <t>GÖTENE</t>
        </is>
      </c>
      <c r="H61" t="inlineStr">
        <is>
          <t>Övriga Aktiebolag</t>
        </is>
      </c>
      <c r="I61" t="n">
        <v>1.1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56169-2024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45624</v>
      </c>
      <c r="E62" s="1" t="n">
        <v>46318</v>
      </c>
      <c r="F62" t="inlineStr">
        <is>
          <t>VÄSTRA GÖTALANDS LÄN</t>
        </is>
      </c>
      <c r="G62" t="inlineStr">
        <is>
          <t>GÖTENE</t>
        </is>
      </c>
      <c r="I62" t="n">
        <v>19.7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13279-2024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45386</v>
      </c>
      <c r="E63" s="1" t="n">
        <v>46318</v>
      </c>
      <c r="F63" t="inlineStr">
        <is>
          <t>VÄSTRA GÖTALANDS LÄN</t>
        </is>
      </c>
      <c r="G63" t="inlineStr">
        <is>
          <t>GÖTENE</t>
        </is>
      </c>
      <c r="I63" t="n">
        <v>1.3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49256-2023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45210</v>
      </c>
      <c r="E64" s="1" t="n">
        <v>46318</v>
      </c>
      <c r="F64" t="inlineStr">
        <is>
          <t>VÄSTRA GÖTALANDS LÄN</t>
        </is>
      </c>
      <c r="G64" t="inlineStr">
        <is>
          <t>GÖTENE</t>
        </is>
      </c>
      <c r="I64" t="n">
        <v>4.1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31258-2025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45833</v>
      </c>
      <c r="E65" s="1" t="n">
        <v>46318</v>
      </c>
      <c r="F65" t="inlineStr">
        <is>
          <t>VÄSTRA GÖTALANDS LÄN</t>
        </is>
      </c>
      <c r="G65" t="inlineStr">
        <is>
          <t>GÖTENE</t>
        </is>
      </c>
      <c r="I65" t="n">
        <v>5.2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31969-2023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45119</v>
      </c>
      <c r="E66" s="1" t="n">
        <v>46318</v>
      </c>
      <c r="F66" t="inlineStr">
        <is>
          <t>VÄSTRA GÖTALANDS LÄN</t>
        </is>
      </c>
      <c r="G66" t="inlineStr">
        <is>
          <t>GÖTENE</t>
        </is>
      </c>
      <c r="I66" t="n">
        <v>1.1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31978-2023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45119</v>
      </c>
      <c r="E67" s="1" t="n">
        <v>46318</v>
      </c>
      <c r="F67" t="inlineStr">
        <is>
          <t>VÄSTRA GÖTALANDS LÄN</t>
        </is>
      </c>
      <c r="G67" t="inlineStr">
        <is>
          <t>GÖTENE</t>
        </is>
      </c>
      <c r="I67" t="n">
        <v>1.2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39150-2022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44817</v>
      </c>
      <c r="E68" s="1" t="n">
        <v>46318</v>
      </c>
      <c r="F68" t="inlineStr">
        <is>
          <t>VÄSTRA GÖTALANDS LÄN</t>
        </is>
      </c>
      <c r="G68" t="inlineStr">
        <is>
          <t>GÖTENE</t>
        </is>
      </c>
      <c r="I68" t="n">
        <v>1.1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61194-2024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45645</v>
      </c>
      <c r="E69" s="1" t="n">
        <v>46318</v>
      </c>
      <c r="F69" t="inlineStr">
        <is>
          <t>VÄSTRA GÖTALANDS LÄN</t>
        </is>
      </c>
      <c r="G69" t="inlineStr">
        <is>
          <t>GÖTENE</t>
        </is>
      </c>
      <c r="H69" t="inlineStr">
        <is>
          <t>Sveaskog</t>
        </is>
      </c>
      <c r="I69" t="n">
        <v>1.5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32967-2025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45839</v>
      </c>
      <c r="E70" s="1" t="n">
        <v>46318</v>
      </c>
      <c r="F70" t="inlineStr">
        <is>
          <t>VÄSTRA GÖTALANDS LÄN</t>
        </is>
      </c>
      <c r="G70" t="inlineStr">
        <is>
          <t>GÖTENE</t>
        </is>
      </c>
      <c r="I70" t="n">
        <v>0.9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39998-2025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45894</v>
      </c>
      <c r="E71" s="1" t="n">
        <v>46318</v>
      </c>
      <c r="F71" t="inlineStr">
        <is>
          <t>VÄSTRA GÖTALANDS LÄN</t>
        </is>
      </c>
      <c r="G71" t="inlineStr">
        <is>
          <t>GÖTENE</t>
        </is>
      </c>
      <c r="I71" t="n">
        <v>4.4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13276-2024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45386</v>
      </c>
      <c r="E72" s="1" t="n">
        <v>46318</v>
      </c>
      <c r="F72" t="inlineStr">
        <is>
          <t>VÄSTRA GÖTALANDS LÄN</t>
        </is>
      </c>
      <c r="G72" t="inlineStr">
        <is>
          <t>GÖTENE</t>
        </is>
      </c>
      <c r="I72" t="n">
        <v>3.6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36472-2023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45152</v>
      </c>
      <c r="E73" s="1" t="n">
        <v>46318</v>
      </c>
      <c r="F73" t="inlineStr">
        <is>
          <t>VÄSTRA GÖTALANDS LÄN</t>
        </is>
      </c>
      <c r="G73" t="inlineStr">
        <is>
          <t>GÖTENE</t>
        </is>
      </c>
      <c r="I73" t="n">
        <v>1.5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6925-2023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44967</v>
      </c>
      <c r="E74" s="1" t="n">
        <v>46318</v>
      </c>
      <c r="F74" t="inlineStr">
        <is>
          <t>VÄSTRA GÖTALANDS LÄN</t>
        </is>
      </c>
      <c r="G74" t="inlineStr">
        <is>
          <t>GÖTENE</t>
        </is>
      </c>
      <c r="H74" t="inlineStr">
        <is>
          <t>Kyrkan</t>
        </is>
      </c>
      <c r="I74" t="n">
        <v>0.9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58236-2024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45632</v>
      </c>
      <c r="E75" s="1" t="n">
        <v>46318</v>
      </c>
      <c r="F75" t="inlineStr">
        <is>
          <t>VÄSTRA GÖTALANDS LÄN</t>
        </is>
      </c>
      <c r="G75" t="inlineStr">
        <is>
          <t>GÖTENE</t>
        </is>
      </c>
      <c r="H75" t="inlineStr">
        <is>
          <t>Kyrkan</t>
        </is>
      </c>
      <c r="I75" t="n">
        <v>2.3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58691-2024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45635</v>
      </c>
      <c r="E76" s="1" t="n">
        <v>46318</v>
      </c>
      <c r="F76" t="inlineStr">
        <is>
          <t>VÄSTRA GÖTALANDS LÄN</t>
        </is>
      </c>
      <c r="G76" t="inlineStr">
        <is>
          <t>GÖTENE</t>
        </is>
      </c>
      <c r="H76" t="inlineStr">
        <is>
          <t>Kyrkan</t>
        </is>
      </c>
      <c r="I76" t="n">
        <v>2.3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3932-2022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44587</v>
      </c>
      <c r="E77" s="1" t="n">
        <v>46318</v>
      </c>
      <c r="F77" t="inlineStr">
        <is>
          <t>VÄSTRA GÖTALANDS LÄN</t>
        </is>
      </c>
      <c r="G77" t="inlineStr">
        <is>
          <t>GÖTENE</t>
        </is>
      </c>
      <c r="I77" t="n">
        <v>1.7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7225-2023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44970</v>
      </c>
      <c r="E78" s="1" t="n">
        <v>46318</v>
      </c>
      <c r="F78" t="inlineStr">
        <is>
          <t>VÄSTRA GÖTALANDS LÄN</t>
        </is>
      </c>
      <c r="G78" t="inlineStr">
        <is>
          <t>GÖTENE</t>
        </is>
      </c>
      <c r="I78" t="n">
        <v>1.4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13450-2025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45736</v>
      </c>
      <c r="E79" s="1" t="n">
        <v>46318</v>
      </c>
      <c r="F79" t="inlineStr">
        <is>
          <t>VÄSTRA GÖTALANDS LÄN</t>
        </is>
      </c>
      <c r="G79" t="inlineStr">
        <is>
          <t>GÖTENE</t>
        </is>
      </c>
      <c r="I79" t="n">
        <v>1.7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35408-2023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45146</v>
      </c>
      <c r="E80" s="1" t="n">
        <v>46318</v>
      </c>
      <c r="F80" t="inlineStr">
        <is>
          <t>VÄSTRA GÖTALANDS LÄN</t>
        </is>
      </c>
      <c r="G80" t="inlineStr">
        <is>
          <t>GÖTENE</t>
        </is>
      </c>
      <c r="I80" t="n">
        <v>3.6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13280-2024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45386</v>
      </c>
      <c r="E81" s="1" t="n">
        <v>46318</v>
      </c>
      <c r="F81" t="inlineStr">
        <is>
          <t>VÄSTRA GÖTALANDS LÄN</t>
        </is>
      </c>
      <c r="G81" t="inlineStr">
        <is>
          <t>GÖTENE</t>
        </is>
      </c>
      <c r="I81" t="n">
        <v>1.6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31981-2023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45119</v>
      </c>
      <c r="E82" s="1" t="n">
        <v>46318</v>
      </c>
      <c r="F82" t="inlineStr">
        <is>
          <t>VÄSTRA GÖTALANDS LÄN</t>
        </is>
      </c>
      <c r="G82" t="inlineStr">
        <is>
          <t>GÖTENE</t>
        </is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45007-2025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45918</v>
      </c>
      <c r="E83" s="1" t="n">
        <v>46318</v>
      </c>
      <c r="F83" t="inlineStr">
        <is>
          <t>VÄSTRA GÖTALANDS LÄN</t>
        </is>
      </c>
      <c r="G83" t="inlineStr">
        <is>
          <t>GÖTENE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55511-2023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45238</v>
      </c>
      <c r="E84" s="1" t="n">
        <v>46318</v>
      </c>
      <c r="F84" t="inlineStr">
        <is>
          <t>VÄSTRA GÖTALANDS LÄN</t>
        </is>
      </c>
      <c r="G84" t="inlineStr">
        <is>
          <t>GÖTENE</t>
        </is>
      </c>
      <c r="I84" t="n">
        <v>3.6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28258-2023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45099</v>
      </c>
      <c r="E85" s="1" t="n">
        <v>46318</v>
      </c>
      <c r="F85" t="inlineStr">
        <is>
          <t>VÄSTRA GÖTALANDS LÄN</t>
        </is>
      </c>
      <c r="G85" t="inlineStr">
        <is>
          <t>GÖTENE</t>
        </is>
      </c>
      <c r="I85" t="n">
        <v>2.7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28264-2023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45099</v>
      </c>
      <c r="E86" s="1" t="n">
        <v>46318</v>
      </c>
      <c r="F86" t="inlineStr">
        <is>
          <t>VÄSTRA GÖTALANDS LÄN</t>
        </is>
      </c>
      <c r="G86" t="inlineStr">
        <is>
          <t>GÖTENE</t>
        </is>
      </c>
      <c r="I86" t="n">
        <v>1.9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49252-2023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45210</v>
      </c>
      <c r="E87" s="1" t="n">
        <v>46318</v>
      </c>
      <c r="F87" t="inlineStr">
        <is>
          <t>VÄSTRA GÖTALANDS LÄN</t>
        </is>
      </c>
      <c r="G87" t="inlineStr">
        <is>
          <t>GÖTENE</t>
        </is>
      </c>
      <c r="I87" t="n">
        <v>0.4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47175-2025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45930</v>
      </c>
      <c r="E88" s="1" t="n">
        <v>46318</v>
      </c>
      <c r="F88" t="inlineStr">
        <is>
          <t>VÄSTRA GÖTALANDS LÄN</t>
        </is>
      </c>
      <c r="G88" t="inlineStr">
        <is>
          <t>GÖTENE</t>
        </is>
      </c>
      <c r="I88" t="n">
        <v>2.9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47383-2025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45930</v>
      </c>
      <c r="E89" s="1" t="n">
        <v>46318</v>
      </c>
      <c r="F89" t="inlineStr">
        <is>
          <t>VÄSTRA GÖTALANDS LÄN</t>
        </is>
      </c>
      <c r="G89" t="inlineStr">
        <is>
          <t>GÖTENE</t>
        </is>
      </c>
      <c r="I89" t="n">
        <v>1.4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47385-2025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45930</v>
      </c>
      <c r="E90" s="1" t="n">
        <v>46318</v>
      </c>
      <c r="F90" t="inlineStr">
        <is>
          <t>VÄSTRA GÖTALANDS LÄN</t>
        </is>
      </c>
      <c r="G90" t="inlineStr">
        <is>
          <t>GÖTENE</t>
        </is>
      </c>
      <c r="I90" t="n">
        <v>1.9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47389-2025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45930</v>
      </c>
      <c r="E91" s="1" t="n">
        <v>46318</v>
      </c>
      <c r="F91" t="inlineStr">
        <is>
          <t>VÄSTRA GÖTALANDS LÄN</t>
        </is>
      </c>
      <c r="G91" t="inlineStr">
        <is>
          <t>GÖTENE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849-2023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44931</v>
      </c>
      <c r="E92" s="1" t="n">
        <v>46318</v>
      </c>
      <c r="F92" t="inlineStr">
        <is>
          <t>VÄSTRA GÖTALANDS LÄN</t>
        </is>
      </c>
      <c r="G92" t="inlineStr">
        <is>
          <t>GÖTENE</t>
        </is>
      </c>
      <c r="I92" t="n">
        <v>3.9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45013-2025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45918</v>
      </c>
      <c r="E93" s="1" t="n">
        <v>46318</v>
      </c>
      <c r="F93" t="inlineStr">
        <is>
          <t>VÄSTRA GÖTALANDS LÄN</t>
        </is>
      </c>
      <c r="G93" t="inlineStr">
        <is>
          <t>GÖTENE</t>
        </is>
      </c>
      <c r="I93" t="n">
        <v>1.3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1662-2025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45670</v>
      </c>
      <c r="E94" s="1" t="n">
        <v>46318</v>
      </c>
      <c r="F94" t="inlineStr">
        <is>
          <t>VÄSTRA GÖTALANDS LÄN</t>
        </is>
      </c>
      <c r="G94" t="inlineStr">
        <is>
          <t>GÖTENE</t>
        </is>
      </c>
      <c r="I94" t="n">
        <v>1.8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44608-2023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45189</v>
      </c>
      <c r="E95" s="1" t="n">
        <v>46318</v>
      </c>
      <c r="F95" t="inlineStr">
        <is>
          <t>VÄSTRA GÖTALANDS LÄN</t>
        </is>
      </c>
      <c r="G95" t="inlineStr">
        <is>
          <t>GÖTENE</t>
        </is>
      </c>
      <c r="I95" t="n">
        <v>1.1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30174-2022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44757</v>
      </c>
      <c r="E96" s="1" t="n">
        <v>46318</v>
      </c>
      <c r="F96" t="inlineStr">
        <is>
          <t>VÄSTRA GÖTALANDS LÄN</t>
        </is>
      </c>
      <c r="G96" t="inlineStr">
        <is>
          <t>GÖTENE</t>
        </is>
      </c>
      <c r="I96" t="n">
        <v>5.1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28335-2023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45099</v>
      </c>
      <c r="E97" s="1" t="n">
        <v>46318</v>
      </c>
      <c r="F97" t="inlineStr">
        <is>
          <t>VÄSTRA GÖTALANDS LÄN</t>
        </is>
      </c>
      <c r="G97" t="inlineStr">
        <is>
          <t>GÖTENE</t>
        </is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34161-2025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45845</v>
      </c>
      <c r="E98" s="1" t="n">
        <v>46318</v>
      </c>
      <c r="F98" t="inlineStr">
        <is>
          <t>VÄSTRA GÖTALANDS LÄN</t>
        </is>
      </c>
      <c r="G98" t="inlineStr">
        <is>
          <t>GÖTENE</t>
        </is>
      </c>
      <c r="I98" t="n">
        <v>4.7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13281-2024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45386</v>
      </c>
      <c r="E99" s="1" t="n">
        <v>46318</v>
      </c>
      <c r="F99" t="inlineStr">
        <is>
          <t>VÄSTRA GÖTALANDS LÄN</t>
        </is>
      </c>
      <c r="G99" t="inlineStr">
        <is>
          <t>GÖTENE</t>
        </is>
      </c>
      <c r="I99" t="n">
        <v>1.1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58650-2023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45251</v>
      </c>
      <c r="E100" s="1" t="n">
        <v>46318</v>
      </c>
      <c r="F100" t="inlineStr">
        <is>
          <t>VÄSTRA GÖTALANDS LÄN</t>
        </is>
      </c>
      <c r="G100" t="inlineStr">
        <is>
          <t>GÖTENE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36304-2023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45152</v>
      </c>
      <c r="E101" s="1" t="n">
        <v>46318</v>
      </c>
      <c r="F101" t="inlineStr">
        <is>
          <t>VÄSTRA GÖTALANDS LÄN</t>
        </is>
      </c>
      <c r="G101" t="inlineStr">
        <is>
          <t>GÖTENE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59074-2023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45252</v>
      </c>
      <c r="E102" s="1" t="n">
        <v>46318</v>
      </c>
      <c r="F102" t="inlineStr">
        <is>
          <t>VÄSTRA GÖTALANDS LÄN</t>
        </is>
      </c>
      <c r="G102" t="inlineStr">
        <is>
          <t>GÖTENE</t>
        </is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25594-2025</t>
        </is>
      </c>
      <c r="B103" t="inlineStr">
        <is>
          <t>avverkningsanmälan</t>
        </is>
      </c>
      <c r="C103" t="inlineStr">
        <is>
          <t>Avverkning för annat ändamål</t>
        </is>
      </c>
      <c r="D103" s="1" t="n">
        <v>45803</v>
      </c>
      <c r="E103" s="1" t="n">
        <v>46318</v>
      </c>
      <c r="F103" t="inlineStr">
        <is>
          <t>VÄSTRA GÖTALANDS LÄN</t>
        </is>
      </c>
      <c r="G103" t="inlineStr">
        <is>
          <t>GÖTENE</t>
        </is>
      </c>
      <c r="I103" t="n">
        <v>3.2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20710-2026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46141</v>
      </c>
      <c r="E104" s="1" t="n">
        <v>46318</v>
      </c>
      <c r="F104" t="inlineStr">
        <is>
          <t>VÄSTRA GÖTALANDS LÄN</t>
        </is>
      </c>
      <c r="G104" t="inlineStr">
        <is>
          <t>GÖTENE</t>
        </is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41721-2022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44827</v>
      </c>
      <c r="E105" s="1" t="n">
        <v>46318</v>
      </c>
      <c r="F105" t="inlineStr">
        <is>
          <t>VÄSTRA GÖTALANDS LÄN</t>
        </is>
      </c>
      <c r="G105" t="inlineStr">
        <is>
          <t>GÖTENE</t>
        </is>
      </c>
      <c r="I105" t="n">
        <v>4.1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20811-2026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46141</v>
      </c>
      <c r="E106" s="1" t="n">
        <v>46318</v>
      </c>
      <c r="F106" t="inlineStr">
        <is>
          <t>VÄSTRA GÖTALANDS LÄN</t>
        </is>
      </c>
      <c r="G106" t="inlineStr">
        <is>
          <t>GÖTENE</t>
        </is>
      </c>
      <c r="I106" t="n">
        <v>0.8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33162-2024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45518</v>
      </c>
      <c r="E107" s="1" t="n">
        <v>46318</v>
      </c>
      <c r="F107" t="inlineStr">
        <is>
          <t>VÄSTRA GÖTALANDS LÄN</t>
        </is>
      </c>
      <c r="G107" t="inlineStr">
        <is>
          <t>GÖTENE</t>
        </is>
      </c>
      <c r="I107" t="n">
        <v>2.2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15428-2025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45747</v>
      </c>
      <c r="E108" s="1" t="n">
        <v>46318</v>
      </c>
      <c r="F108" t="inlineStr">
        <is>
          <t>VÄSTRA GÖTALANDS LÄN</t>
        </is>
      </c>
      <c r="G108" t="inlineStr">
        <is>
          <t>GÖTENE</t>
        </is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15434-2025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45747</v>
      </c>
      <c r="E109" s="1" t="n">
        <v>46318</v>
      </c>
      <c r="F109" t="inlineStr">
        <is>
          <t>VÄSTRA GÖTALANDS LÄN</t>
        </is>
      </c>
      <c r="G109" t="inlineStr">
        <is>
          <t>GÖTENE</t>
        </is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20812-2026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46141</v>
      </c>
      <c r="E110" s="1" t="n">
        <v>46318</v>
      </c>
      <c r="F110" t="inlineStr">
        <is>
          <t>VÄSTRA GÖTALANDS LÄN</t>
        </is>
      </c>
      <c r="G110" t="inlineStr">
        <is>
          <t>GÖTENE</t>
        </is>
      </c>
      <c r="I110" t="n">
        <v>2.2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56365-2025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45974</v>
      </c>
      <c r="E111" s="1" t="n">
        <v>46318</v>
      </c>
      <c r="F111" t="inlineStr">
        <is>
          <t>VÄSTRA GÖTALANDS LÄN</t>
        </is>
      </c>
      <c r="G111" t="inlineStr">
        <is>
          <t>GÖTENE</t>
        </is>
      </c>
      <c r="I111" t="n">
        <v>1.8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56347-2025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45974</v>
      </c>
      <c r="E112" s="1" t="n">
        <v>46318</v>
      </c>
      <c r="F112" t="inlineStr">
        <is>
          <t>VÄSTRA GÖTALANDS LÄN</t>
        </is>
      </c>
      <c r="G112" t="inlineStr">
        <is>
          <t>GÖTENE</t>
        </is>
      </c>
      <c r="I112" t="n">
        <v>10.9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56352-2025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45974</v>
      </c>
      <c r="E113" s="1" t="n">
        <v>46318</v>
      </c>
      <c r="F113" t="inlineStr">
        <is>
          <t>VÄSTRA GÖTALANDS LÄN</t>
        </is>
      </c>
      <c r="G113" t="inlineStr">
        <is>
          <t>GÖTENE</t>
        </is>
      </c>
      <c r="I113" t="n">
        <v>5.9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56414-2025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45975</v>
      </c>
      <c r="E114" s="1" t="n">
        <v>46318</v>
      </c>
      <c r="F114" t="inlineStr">
        <is>
          <t>VÄSTRA GÖTALANDS LÄN</t>
        </is>
      </c>
      <c r="G114" t="inlineStr">
        <is>
          <t>GÖTENE</t>
        </is>
      </c>
      <c r="I114" t="n">
        <v>3.3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56340-2025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45974</v>
      </c>
      <c r="E115" s="1" t="n">
        <v>46318</v>
      </c>
      <c r="F115" t="inlineStr">
        <is>
          <t>VÄSTRA GÖTALANDS LÄN</t>
        </is>
      </c>
      <c r="G115" t="inlineStr">
        <is>
          <t>GÖTENE</t>
        </is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56417-2025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45975</v>
      </c>
      <c r="E116" s="1" t="n">
        <v>46318</v>
      </c>
      <c r="F116" t="inlineStr">
        <is>
          <t>VÄSTRA GÖTALANDS LÄN</t>
        </is>
      </c>
      <c r="G116" t="inlineStr">
        <is>
          <t>GÖTENE</t>
        </is>
      </c>
      <c r="I116" t="n">
        <v>1.9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20700-2026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46141</v>
      </c>
      <c r="E117" s="1" t="n">
        <v>46318</v>
      </c>
      <c r="F117" t="inlineStr">
        <is>
          <t>VÄSTRA GÖTALANDS LÄN</t>
        </is>
      </c>
      <c r="G117" t="inlineStr">
        <is>
          <t>GÖTENE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56346-2025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45974</v>
      </c>
      <c r="E118" s="1" t="n">
        <v>46318</v>
      </c>
      <c r="F118" t="inlineStr">
        <is>
          <t>VÄSTRA GÖTALANDS LÄN</t>
        </is>
      </c>
      <c r="G118" t="inlineStr">
        <is>
          <t>GÖTENE</t>
        </is>
      </c>
      <c r="I118" t="n">
        <v>18.8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21369-2026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46147</v>
      </c>
      <c r="E119" s="1" t="n">
        <v>46318</v>
      </c>
      <c r="F119" t="inlineStr">
        <is>
          <t>VÄSTRA GÖTALANDS LÄN</t>
        </is>
      </c>
      <c r="G119" t="inlineStr">
        <is>
          <t>GÖTENE</t>
        </is>
      </c>
      <c r="I119" t="n">
        <v>1.3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21376-2026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46147</v>
      </c>
      <c r="E120" s="1" t="n">
        <v>46318</v>
      </c>
      <c r="F120" t="inlineStr">
        <is>
          <t>VÄSTRA GÖTALANDS LÄN</t>
        </is>
      </c>
      <c r="G120" t="inlineStr">
        <is>
          <t>GÖTENE</t>
        </is>
      </c>
      <c r="I120" t="n">
        <v>7.2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58517-2025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45985</v>
      </c>
      <c r="E121" s="1" t="n">
        <v>46318</v>
      </c>
      <c r="F121" t="inlineStr">
        <is>
          <t>VÄSTRA GÖTALANDS LÄN</t>
        </is>
      </c>
      <c r="G121" t="inlineStr">
        <is>
          <t>GÖTENE</t>
        </is>
      </c>
      <c r="I121" t="n">
        <v>1.1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58520-2025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45985</v>
      </c>
      <c r="E122" s="1" t="n">
        <v>46318</v>
      </c>
      <c r="F122" t="inlineStr">
        <is>
          <t>VÄSTRA GÖTALANDS LÄN</t>
        </is>
      </c>
      <c r="G122" t="inlineStr">
        <is>
          <t>GÖTENE</t>
        </is>
      </c>
      <c r="I122" t="n">
        <v>1.1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58766-2025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45986</v>
      </c>
      <c r="E123" s="1" t="n">
        <v>46318</v>
      </c>
      <c r="F123" t="inlineStr">
        <is>
          <t>VÄSTRA GÖTALANDS LÄN</t>
        </is>
      </c>
      <c r="G123" t="inlineStr">
        <is>
          <t>GÖTENE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11771-2024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45373</v>
      </c>
      <c r="E124" s="1" t="n">
        <v>46318</v>
      </c>
      <c r="F124" t="inlineStr">
        <is>
          <t>VÄSTRA GÖTALANDS LÄN</t>
        </is>
      </c>
      <c r="G124" t="inlineStr">
        <is>
          <t>GÖTENE</t>
        </is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58417-2024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45634</v>
      </c>
      <c r="E125" s="1" t="n">
        <v>46318</v>
      </c>
      <c r="F125" t="inlineStr">
        <is>
          <t>VÄSTRA GÖTALANDS LÄN</t>
        </is>
      </c>
      <c r="G125" t="inlineStr">
        <is>
          <t>GÖTENE</t>
        </is>
      </c>
      <c r="H125" t="inlineStr">
        <is>
          <t>Kommuner</t>
        </is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31917-2022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44777</v>
      </c>
      <c r="E126" s="1" t="n">
        <v>46318</v>
      </c>
      <c r="F126" t="inlineStr">
        <is>
          <t>VÄSTRA GÖTALANDS LÄN</t>
        </is>
      </c>
      <c r="G126" t="inlineStr">
        <is>
          <t>GÖTENE</t>
        </is>
      </c>
      <c r="I126" t="n">
        <v>1.9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58767-2025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45986</v>
      </c>
      <c r="E127" s="1" t="n">
        <v>46318</v>
      </c>
      <c r="F127" t="inlineStr">
        <is>
          <t>VÄSTRA GÖTALANDS LÄN</t>
        </is>
      </c>
      <c r="G127" t="inlineStr">
        <is>
          <t>GÖTENE</t>
        </is>
      </c>
      <c r="I127" t="n">
        <v>3.7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13345-2022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44645</v>
      </c>
      <c r="E128" s="1" t="n">
        <v>46318</v>
      </c>
      <c r="F128" t="inlineStr">
        <is>
          <t>VÄSTRA GÖTALANDS LÄN</t>
        </is>
      </c>
      <c r="G128" t="inlineStr">
        <is>
          <t>GÖTENE</t>
        </is>
      </c>
      <c r="I128" t="n">
        <v>3.4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64712-2023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45281</v>
      </c>
      <c r="E129" s="1" t="n">
        <v>46318</v>
      </c>
      <c r="F129" t="inlineStr">
        <is>
          <t>VÄSTRA GÖTALANDS LÄN</t>
        </is>
      </c>
      <c r="G129" t="inlineStr">
        <is>
          <t>GÖTENE</t>
        </is>
      </c>
      <c r="I129" t="n">
        <v>3.5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39081-2022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44817</v>
      </c>
      <c r="E130" s="1" t="n">
        <v>46318</v>
      </c>
      <c r="F130" t="inlineStr">
        <is>
          <t>VÄSTRA GÖTALANDS LÄN</t>
        </is>
      </c>
      <c r="G130" t="inlineStr">
        <is>
          <t>GÖTENE</t>
        </is>
      </c>
      <c r="I130" t="n">
        <v>1.6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60559-2025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45995</v>
      </c>
      <c r="E131" s="1" t="n">
        <v>46318</v>
      </c>
      <c r="F131" t="inlineStr">
        <is>
          <t>VÄSTRA GÖTALANDS LÄN</t>
        </is>
      </c>
      <c r="G131" t="inlineStr">
        <is>
          <t>GÖTENE</t>
        </is>
      </c>
      <c r="I131" t="n">
        <v>1.5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61294-2024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45645</v>
      </c>
      <c r="E132" s="1" t="n">
        <v>46318</v>
      </c>
      <c r="F132" t="inlineStr">
        <is>
          <t>VÄSTRA GÖTALANDS LÄN</t>
        </is>
      </c>
      <c r="G132" t="inlineStr">
        <is>
          <t>GÖTENE</t>
        </is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22916-2026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46160</v>
      </c>
      <c r="E133" s="1" t="n">
        <v>46318</v>
      </c>
      <c r="F133" t="inlineStr">
        <is>
          <t>VÄSTRA GÖTALANDS LÄN</t>
        </is>
      </c>
      <c r="G133" t="inlineStr">
        <is>
          <t>GÖTENE</t>
        </is>
      </c>
      <c r="I133" t="n">
        <v>1.8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62402-2023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45268</v>
      </c>
      <c r="E134" s="1" t="n">
        <v>46318</v>
      </c>
      <c r="F134" t="inlineStr">
        <is>
          <t>VÄSTRA GÖTALANDS LÄN</t>
        </is>
      </c>
      <c r="G134" t="inlineStr">
        <is>
          <t>GÖTENE</t>
        </is>
      </c>
      <c r="I134" t="n">
        <v>0.5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1352-2023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44931</v>
      </c>
      <c r="E135" s="1" t="n">
        <v>46318</v>
      </c>
      <c r="F135" t="inlineStr">
        <is>
          <t>VÄSTRA GÖTALANDS LÄN</t>
        </is>
      </c>
      <c r="G135" t="inlineStr">
        <is>
          <t>GÖTENE</t>
        </is>
      </c>
      <c r="I135" t="n">
        <v>1.8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22906-2026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46160</v>
      </c>
      <c r="E136" s="1" t="n">
        <v>46318</v>
      </c>
      <c r="F136" t="inlineStr">
        <is>
          <t>VÄSTRA GÖTALANDS LÄN</t>
        </is>
      </c>
      <c r="G136" t="inlineStr">
        <is>
          <t>GÖTENE</t>
        </is>
      </c>
      <c r="I136" t="n">
        <v>1.7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22912-2026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46160</v>
      </c>
      <c r="E137" s="1" t="n">
        <v>46318</v>
      </c>
      <c r="F137" t="inlineStr">
        <is>
          <t>VÄSTRA GÖTALANDS LÄN</t>
        </is>
      </c>
      <c r="G137" t="inlineStr">
        <is>
          <t>GÖTENE</t>
        </is>
      </c>
      <c r="I137" t="n">
        <v>2.2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28332-2023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45099</v>
      </c>
      <c r="E138" s="1" t="n">
        <v>46318</v>
      </c>
      <c r="F138" t="inlineStr">
        <is>
          <t>VÄSTRA GÖTALANDS LÄN</t>
        </is>
      </c>
      <c r="G138" t="inlineStr">
        <is>
          <t>GÖTENE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11889-2024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45376</v>
      </c>
      <c r="E139" s="1" t="n">
        <v>46318</v>
      </c>
      <c r="F139" t="inlineStr">
        <is>
          <t>VÄSTRA GÖTALANDS LÄN</t>
        </is>
      </c>
      <c r="G139" t="inlineStr">
        <is>
          <t>GÖTENE</t>
        </is>
      </c>
      <c r="I139" t="n">
        <v>0.6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11772-2024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45373</v>
      </c>
      <c r="E140" s="1" t="n">
        <v>46318</v>
      </c>
      <c r="F140" t="inlineStr">
        <is>
          <t>VÄSTRA GÖTALANDS LÄN</t>
        </is>
      </c>
      <c r="G140" t="inlineStr">
        <is>
          <t>GÖTENE</t>
        </is>
      </c>
      <c r="I140" t="n">
        <v>0.8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11773-2024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45373</v>
      </c>
      <c r="E141" s="1" t="n">
        <v>46318</v>
      </c>
      <c r="F141" t="inlineStr">
        <is>
          <t>VÄSTRA GÖTALANDS LÄN</t>
        </is>
      </c>
      <c r="G141" t="inlineStr">
        <is>
          <t>GÖTENE</t>
        </is>
      </c>
      <c r="I141" t="n">
        <v>1.9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44033-2024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45572</v>
      </c>
      <c r="E142" s="1" t="n">
        <v>46318</v>
      </c>
      <c r="F142" t="inlineStr">
        <is>
          <t>VÄSTRA GÖTALANDS LÄN</t>
        </is>
      </c>
      <c r="G142" t="inlineStr">
        <is>
          <t>GÖTENE</t>
        </is>
      </c>
      <c r="I142" t="n">
        <v>1.2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72879-2021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44547</v>
      </c>
      <c r="E143" s="1" t="n">
        <v>46318</v>
      </c>
      <c r="F143" t="inlineStr">
        <is>
          <t>VÄSTRA GÖTALANDS LÄN</t>
        </is>
      </c>
      <c r="G143" t="inlineStr">
        <is>
          <t>GÖTENE</t>
        </is>
      </c>
      <c r="I143" t="n">
        <v>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28267-2023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45099</v>
      </c>
      <c r="E144" s="1" t="n">
        <v>46318</v>
      </c>
      <c r="F144" t="inlineStr">
        <is>
          <t>VÄSTRA GÖTALANDS LÄN</t>
        </is>
      </c>
      <c r="G144" t="inlineStr">
        <is>
          <t>GÖTENE</t>
        </is>
      </c>
      <c r="I144" t="n">
        <v>0.4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21285-2024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45440</v>
      </c>
      <c r="E145" s="1" t="n">
        <v>46318</v>
      </c>
      <c r="F145" t="inlineStr">
        <is>
          <t>VÄSTRA GÖTALANDS LÄN</t>
        </is>
      </c>
      <c r="G145" t="inlineStr">
        <is>
          <t>GÖTENE</t>
        </is>
      </c>
      <c r="I145" t="n">
        <v>1.3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25777-2026</t>
        </is>
      </c>
      <c r="B146" t="inlineStr">
        <is>
          <t>avverkningsanmälan</t>
        </is>
      </c>
      <c r="C146" t="inlineStr">
        <is>
          <t>Avverkning för annat ändamål</t>
        </is>
      </c>
      <c r="D146" s="1" t="n">
        <v>46178</v>
      </c>
      <c r="E146" s="1" t="n">
        <v>46318</v>
      </c>
      <c r="F146" t="inlineStr">
        <is>
          <t>VÄSTRA GÖTALANDS LÄN</t>
        </is>
      </c>
      <c r="G146" t="inlineStr">
        <is>
          <t>GÖTENE</t>
        </is>
      </c>
      <c r="I146" t="n">
        <v>4.5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3960-2026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46044</v>
      </c>
      <c r="E147" s="1" t="n">
        <v>46318</v>
      </c>
      <c r="F147" t="inlineStr">
        <is>
          <t>VÄSTRA GÖTALANDS LÄN</t>
        </is>
      </c>
      <c r="G147" t="inlineStr">
        <is>
          <t>GÖTENE</t>
        </is>
      </c>
      <c r="H147" t="inlineStr">
        <is>
          <t>Övriga Aktiebolag</t>
        </is>
      </c>
      <c r="I147" t="n">
        <v>3.7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5044-2026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46049</v>
      </c>
      <c r="E148" s="1" t="n">
        <v>46318</v>
      </c>
      <c r="F148" t="inlineStr">
        <is>
          <t>VÄSTRA GÖTALANDS LÄN</t>
        </is>
      </c>
      <c r="G148" t="inlineStr">
        <is>
          <t>GÖTENE</t>
        </is>
      </c>
      <c r="I148" t="n">
        <v>5.4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26338-2026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46182</v>
      </c>
      <c r="E149" s="1" t="n">
        <v>46318</v>
      </c>
      <c r="F149" t="inlineStr">
        <is>
          <t>VÄSTRA GÖTALANDS LÄN</t>
        </is>
      </c>
      <c r="G149" t="inlineStr">
        <is>
          <t>GÖTENE</t>
        </is>
      </c>
      <c r="I149" t="n">
        <v>1.5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28316-2024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45477</v>
      </c>
      <c r="E150" s="1" t="n">
        <v>46318</v>
      </c>
      <c r="F150" t="inlineStr">
        <is>
          <t>VÄSTRA GÖTALANDS LÄN</t>
        </is>
      </c>
      <c r="G150" t="inlineStr">
        <is>
          <t>GÖTENE</t>
        </is>
      </c>
      <c r="I150" t="n">
        <v>3.4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17010-2022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44676</v>
      </c>
      <c r="E151" s="1" t="n">
        <v>46318</v>
      </c>
      <c r="F151" t="inlineStr">
        <is>
          <t>VÄSTRA GÖTALANDS LÄN</t>
        </is>
      </c>
      <c r="G151" t="inlineStr">
        <is>
          <t>GÖTENE</t>
        </is>
      </c>
      <c r="I151" t="n">
        <v>1.7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21269-2024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45440</v>
      </c>
      <c r="E152" s="1" t="n">
        <v>46318</v>
      </c>
      <c r="F152" t="inlineStr">
        <is>
          <t>VÄSTRA GÖTALANDS LÄN</t>
        </is>
      </c>
      <c r="G152" t="inlineStr">
        <is>
          <t>GÖTENE</t>
        </is>
      </c>
      <c r="I152" t="n">
        <v>1.3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12664-2023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45000</v>
      </c>
      <c r="E153" s="1" t="n">
        <v>46318</v>
      </c>
      <c r="F153" t="inlineStr">
        <is>
          <t>VÄSTRA GÖTALANDS LÄN</t>
        </is>
      </c>
      <c r="G153" t="inlineStr">
        <is>
          <t>GÖTENE</t>
        </is>
      </c>
      <c r="I153" t="n">
        <v>1.6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61021-2022</t>
        </is>
      </c>
      <c r="B154" t="inlineStr">
        <is>
          <t>avverkningsanmälan</t>
        </is>
      </c>
      <c r="C154" t="inlineStr">
        <is>
          <t>Avverkning för annat ändamål</t>
        </is>
      </c>
      <c r="D154" s="1" t="n">
        <v>44914</v>
      </c>
      <c r="E154" s="1" t="n">
        <v>46318</v>
      </c>
      <c r="F154" t="inlineStr">
        <is>
          <t>VÄSTRA GÖTALANDS LÄN</t>
        </is>
      </c>
      <c r="G154" t="inlineStr">
        <is>
          <t>GÖTENE</t>
        </is>
      </c>
      <c r="I154" t="n">
        <v>1.8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16341-2025</t>
        </is>
      </c>
      <c r="B155" t="inlineStr">
        <is>
          <t>avverkningsanmälan</t>
        </is>
      </c>
      <c r="C155" t="inlineStr">
        <is>
          <t>Avverkning för annat ändamål</t>
        </is>
      </c>
      <c r="D155" s="1" t="n">
        <v>45751</v>
      </c>
      <c r="E155" s="1" t="n">
        <v>46318</v>
      </c>
      <c r="F155" t="inlineStr">
        <is>
          <t>VÄSTRA GÖTALANDS LÄN</t>
        </is>
      </c>
      <c r="G155" t="inlineStr">
        <is>
          <t>GÖTENE</t>
        </is>
      </c>
      <c r="I155" t="n">
        <v>1.4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10630-2026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46078</v>
      </c>
      <c r="E156" s="1" t="n">
        <v>46318</v>
      </c>
      <c r="F156" t="inlineStr">
        <is>
          <t>VÄSTRA GÖTALANDS LÄN</t>
        </is>
      </c>
      <c r="G156" t="inlineStr">
        <is>
          <t>GÖTENE</t>
        </is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10668-2025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45721</v>
      </c>
      <c r="E157" s="1" t="n">
        <v>46318</v>
      </c>
      <c r="F157" t="inlineStr">
        <is>
          <t>VÄSTRA GÖTALANDS LÄN</t>
        </is>
      </c>
      <c r="G157" t="inlineStr">
        <is>
          <t>GÖTENE</t>
        </is>
      </c>
      <c r="I157" t="n">
        <v>1.3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30205-2023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45110</v>
      </c>
      <c r="E158" s="1" t="n">
        <v>46318</v>
      </c>
      <c r="F158" t="inlineStr">
        <is>
          <t>VÄSTRA GÖTALANDS LÄN</t>
        </is>
      </c>
      <c r="G158" t="inlineStr">
        <is>
          <t>GÖTENE</t>
        </is>
      </c>
      <c r="I158" t="n">
        <v>6.8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11459-2026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46083</v>
      </c>
      <c r="E159" s="1" t="n">
        <v>46318</v>
      </c>
      <c r="F159" t="inlineStr">
        <is>
          <t>VÄSTRA GÖTALANDS LÄN</t>
        </is>
      </c>
      <c r="G159" t="inlineStr">
        <is>
          <t>GÖTENE</t>
        </is>
      </c>
      <c r="I159" t="n">
        <v>3.5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10636-2026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46078</v>
      </c>
      <c r="E160" s="1" t="n">
        <v>46318</v>
      </c>
      <c r="F160" t="inlineStr">
        <is>
          <t>VÄSTRA GÖTALANDS LÄN</t>
        </is>
      </c>
      <c r="G160" t="inlineStr">
        <is>
          <t>GÖTENE</t>
        </is>
      </c>
      <c r="I160" t="n">
        <v>1.6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11460-2026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46083</v>
      </c>
      <c r="E161" s="1" t="n">
        <v>46318</v>
      </c>
      <c r="F161" t="inlineStr">
        <is>
          <t>VÄSTRA GÖTALANDS LÄN</t>
        </is>
      </c>
      <c r="G161" t="inlineStr">
        <is>
          <t>GÖTENE</t>
        </is>
      </c>
      <c r="I161" t="n">
        <v>1.1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11630-2026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46084</v>
      </c>
      <c r="E162" s="1" t="n">
        <v>46318</v>
      </c>
      <c r="F162" t="inlineStr">
        <is>
          <t>VÄSTRA GÖTALANDS LÄN</t>
        </is>
      </c>
      <c r="G162" t="inlineStr">
        <is>
          <t>GÖTENE</t>
        </is>
      </c>
      <c r="H162" t="inlineStr">
        <is>
          <t>Övriga Aktiebolag</t>
        </is>
      </c>
      <c r="I162" t="n">
        <v>1.7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28467-2026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46197</v>
      </c>
      <c r="E163" s="1" t="n">
        <v>46318</v>
      </c>
      <c r="F163" t="inlineStr">
        <is>
          <t>VÄSTRA GÖTALANDS LÄN</t>
        </is>
      </c>
      <c r="G163" t="inlineStr">
        <is>
          <t>GÖTENE</t>
        </is>
      </c>
      <c r="I163" t="n">
        <v>3.5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28647-2026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46198</v>
      </c>
      <c r="E164" s="1" t="n">
        <v>46318</v>
      </c>
      <c r="F164" t="inlineStr">
        <is>
          <t>VÄSTRA GÖTALANDS LÄN</t>
        </is>
      </c>
      <c r="G164" t="inlineStr">
        <is>
          <t>GÖTENE</t>
        </is>
      </c>
      <c r="I164" t="n">
        <v>1.6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20507-2026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46140</v>
      </c>
      <c r="E165" s="1" t="n">
        <v>46318</v>
      </c>
      <c r="F165" t="inlineStr">
        <is>
          <t>VÄSTRA GÖTALANDS LÄN</t>
        </is>
      </c>
      <c r="G165" t="inlineStr">
        <is>
          <t>GÖTENE</t>
        </is>
      </c>
      <c r="I165" t="n">
        <v>1.4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30191-2026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46206</v>
      </c>
      <c r="E166" s="1" t="n">
        <v>46318</v>
      </c>
      <c r="F166" t="inlineStr">
        <is>
          <t>VÄSTRA GÖTALANDS LÄN</t>
        </is>
      </c>
      <c r="G166" t="inlineStr">
        <is>
          <t>GÖTENE</t>
        </is>
      </c>
      <c r="H166" t="inlineStr">
        <is>
          <t>Sveaskog</t>
        </is>
      </c>
      <c r="I166" t="n">
        <v>6.5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22278-2024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45446</v>
      </c>
      <c r="E167" s="1" t="n">
        <v>46318</v>
      </c>
      <c r="F167" t="inlineStr">
        <is>
          <t>VÄSTRA GÖTALANDS LÄN</t>
        </is>
      </c>
      <c r="G167" t="inlineStr">
        <is>
          <t>GÖTENE</t>
        </is>
      </c>
      <c r="I167" t="n">
        <v>1.8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18776-2026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46128</v>
      </c>
      <c r="E168" s="1" t="n">
        <v>46318</v>
      </c>
      <c r="F168" t="inlineStr">
        <is>
          <t>VÄSTRA GÖTALANDS LÄN</t>
        </is>
      </c>
      <c r="G168" t="inlineStr">
        <is>
          <t>GÖTENE</t>
        </is>
      </c>
      <c r="I168" t="n">
        <v>1.3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5690-2026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46051</v>
      </c>
      <c r="E169" s="1" t="n">
        <v>46318</v>
      </c>
      <c r="F169" t="inlineStr">
        <is>
          <t>VÄSTRA GÖTALANDS LÄN</t>
        </is>
      </c>
      <c r="G169" t="inlineStr">
        <is>
          <t>GÖTENE</t>
        </is>
      </c>
      <c r="I169" t="n">
        <v>0.8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31329-2026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46219</v>
      </c>
      <c r="E170" s="1" t="n">
        <v>46318</v>
      </c>
      <c r="F170" t="inlineStr">
        <is>
          <t>VÄSTRA GÖTALANDS LÄN</t>
        </is>
      </c>
      <c r="G170" t="inlineStr">
        <is>
          <t>GÖTENE</t>
        </is>
      </c>
      <c r="I170" t="n">
        <v>7.5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31446-2026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46220</v>
      </c>
      <c r="E171" s="1" t="n">
        <v>46318</v>
      </c>
      <c r="F171" t="inlineStr">
        <is>
          <t>VÄSTRA GÖTALANDS LÄN</t>
        </is>
      </c>
      <c r="G171" t="inlineStr">
        <is>
          <t>GÖTENE</t>
        </is>
      </c>
      <c r="I171" t="n">
        <v>1.7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31452-2026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46220</v>
      </c>
      <c r="E172" s="1" t="n">
        <v>46318</v>
      </c>
      <c r="F172" t="inlineStr">
        <is>
          <t>VÄSTRA GÖTALANDS LÄN</t>
        </is>
      </c>
      <c r="G172" t="inlineStr">
        <is>
          <t>GÖTENE</t>
        </is>
      </c>
      <c r="I172" t="n">
        <v>3.6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31324-2026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46219</v>
      </c>
      <c r="E173" s="1" t="n">
        <v>46318</v>
      </c>
      <c r="F173" t="inlineStr">
        <is>
          <t>VÄSTRA GÖTALANDS LÄN</t>
        </is>
      </c>
      <c r="G173" t="inlineStr">
        <is>
          <t>GÖTENE</t>
        </is>
      </c>
      <c r="I173" t="n">
        <v>2.3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17069-2023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45034</v>
      </c>
      <c r="E174" s="1" t="n">
        <v>46318</v>
      </c>
      <c r="F174" t="inlineStr">
        <is>
          <t>VÄSTRA GÖTALANDS LÄN</t>
        </is>
      </c>
      <c r="G174" t="inlineStr">
        <is>
          <t>GÖTENE</t>
        </is>
      </c>
      <c r="I174" t="n">
        <v>0.8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1379-2025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45667</v>
      </c>
      <c r="E175" s="1" t="n">
        <v>46318</v>
      </c>
      <c r="F175" t="inlineStr">
        <is>
          <t>VÄSTRA GÖTALANDS LÄN</t>
        </is>
      </c>
      <c r="G175" t="inlineStr">
        <is>
          <t>GÖTENE</t>
        </is>
      </c>
      <c r="I175" t="n">
        <v>0.6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37557-2026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46276</v>
      </c>
      <c r="E176" s="1" t="n">
        <v>46318</v>
      </c>
      <c r="F176" t="inlineStr">
        <is>
          <t>VÄSTRA GÖTALANDS LÄN</t>
        </is>
      </c>
      <c r="G176" t="inlineStr">
        <is>
          <t>GÖTENE</t>
        </is>
      </c>
      <c r="I176" t="n">
        <v>3.7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32298-2026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46237</v>
      </c>
      <c r="E177" s="1" t="n">
        <v>46318</v>
      </c>
      <c r="F177" t="inlineStr">
        <is>
          <t>VÄSTRA GÖTALANDS LÄN</t>
        </is>
      </c>
      <c r="G177" t="inlineStr">
        <is>
          <t>GÖTENE</t>
        </is>
      </c>
      <c r="H177" t="inlineStr">
        <is>
          <t>Övriga Aktiebolag</t>
        </is>
      </c>
      <c r="I177" t="n">
        <v>3.8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32363-2026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46238</v>
      </c>
      <c r="E178" s="1" t="n">
        <v>46318</v>
      </c>
      <c r="F178" t="inlineStr">
        <is>
          <t>VÄSTRA GÖTALANDS LÄN</t>
        </is>
      </c>
      <c r="G178" t="inlineStr">
        <is>
          <t>GÖTENE</t>
        </is>
      </c>
      <c r="I178" t="n">
        <v>6.2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32364-2026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46238</v>
      </c>
      <c r="E179" s="1" t="n">
        <v>46318</v>
      </c>
      <c r="F179" t="inlineStr">
        <is>
          <t>VÄSTRA GÖTALANDS LÄN</t>
        </is>
      </c>
      <c r="G179" t="inlineStr">
        <is>
          <t>GÖTENE</t>
        </is>
      </c>
      <c r="I179" t="n">
        <v>1.9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45180-2024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45575</v>
      </c>
      <c r="E180" s="1" t="n">
        <v>46318</v>
      </c>
      <c r="F180" t="inlineStr">
        <is>
          <t>VÄSTRA GÖTALANDS LÄN</t>
        </is>
      </c>
      <c r="G180" t="inlineStr">
        <is>
          <t>GÖTENE</t>
        </is>
      </c>
      <c r="I180" t="n">
        <v>14.7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14502-2023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45012</v>
      </c>
      <c r="E181" s="1" t="n">
        <v>46318</v>
      </c>
      <c r="F181" t="inlineStr">
        <is>
          <t>VÄSTRA GÖTALANDS LÄN</t>
        </is>
      </c>
      <c r="G181" t="inlineStr">
        <is>
          <t>GÖTENE</t>
        </is>
      </c>
      <c r="I181" t="n">
        <v>3.2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13340-2022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44645</v>
      </c>
      <c r="E182" s="1" t="n">
        <v>46318</v>
      </c>
      <c r="F182" t="inlineStr">
        <is>
          <t>VÄSTRA GÖTALANDS LÄN</t>
        </is>
      </c>
      <c r="G182" t="inlineStr">
        <is>
          <t>GÖTENE</t>
        </is>
      </c>
      <c r="I182" t="n">
        <v>3.9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13348-2022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44645</v>
      </c>
      <c r="E183" s="1" t="n">
        <v>46318</v>
      </c>
      <c r="F183" t="inlineStr">
        <is>
          <t>VÄSTRA GÖTALANDS LÄN</t>
        </is>
      </c>
      <c r="G183" t="inlineStr">
        <is>
          <t>GÖTENE</t>
        </is>
      </c>
      <c r="I183" t="n">
        <v>1.7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13366-2022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44645</v>
      </c>
      <c r="E184" s="1" t="n">
        <v>46318</v>
      </c>
      <c r="F184" t="inlineStr">
        <is>
          <t>VÄSTRA GÖTALANDS LÄN</t>
        </is>
      </c>
      <c r="G184" t="inlineStr">
        <is>
          <t>GÖTENE</t>
        </is>
      </c>
      <c r="I184" t="n">
        <v>1.7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15646-2023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45021</v>
      </c>
      <c r="E185" s="1" t="n">
        <v>46318</v>
      </c>
      <c r="F185" t="inlineStr">
        <is>
          <t>VÄSTRA GÖTALANDS LÄN</t>
        </is>
      </c>
      <c r="G185" t="inlineStr">
        <is>
          <t>GÖTENE</t>
        </is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9607-2024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45361</v>
      </c>
      <c r="E186" s="1" t="n">
        <v>46318</v>
      </c>
      <c r="F186" t="inlineStr">
        <is>
          <t>VÄSTRA GÖTALANDS LÄN</t>
        </is>
      </c>
      <c r="G186" t="inlineStr">
        <is>
          <t>GÖTENE</t>
        </is>
      </c>
      <c r="I186" t="n">
        <v>1.2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9145-2023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44974</v>
      </c>
      <c r="E187" s="1" t="n">
        <v>46318</v>
      </c>
      <c r="F187" t="inlineStr">
        <is>
          <t>VÄSTRA GÖTALANDS LÄN</t>
        </is>
      </c>
      <c r="G187" t="inlineStr">
        <is>
          <t>GÖTENE</t>
        </is>
      </c>
      <c r="I187" t="n">
        <v>1.7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39842-2026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46290</v>
      </c>
      <c r="E188" s="1" t="n">
        <v>46318</v>
      </c>
      <c r="F188" t="inlineStr">
        <is>
          <t>VÄSTRA GÖTALANDS LÄN</t>
        </is>
      </c>
      <c r="G188" t="inlineStr">
        <is>
          <t>GÖTENE</t>
        </is>
      </c>
      <c r="H188" t="inlineStr">
        <is>
          <t>Sveaskog</t>
        </is>
      </c>
      <c r="I188" t="n">
        <v>1.2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26336-2026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46182</v>
      </c>
      <c r="E189" s="1" t="n">
        <v>46318</v>
      </c>
      <c r="F189" t="inlineStr">
        <is>
          <t>VÄSTRA GÖTALANDS LÄN</t>
        </is>
      </c>
      <c r="G189" t="inlineStr">
        <is>
          <t>GÖTENE</t>
        </is>
      </c>
      <c r="I189" t="n">
        <v>1.3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39848-2026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46290</v>
      </c>
      <c r="E190" s="1" t="n">
        <v>46318</v>
      </c>
      <c r="F190" t="inlineStr">
        <is>
          <t>VÄSTRA GÖTALANDS LÄN</t>
        </is>
      </c>
      <c r="G190" t="inlineStr">
        <is>
          <t>GÖTENE</t>
        </is>
      </c>
      <c r="H190" t="inlineStr">
        <is>
          <t>Sveaskog</t>
        </is>
      </c>
      <c r="I190" t="n">
        <v>2.1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39846-2026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46290</v>
      </c>
      <c r="E191" s="1" t="n">
        <v>46318</v>
      </c>
      <c r="F191" t="inlineStr">
        <is>
          <t>VÄSTRA GÖTALANDS LÄN</t>
        </is>
      </c>
      <c r="G191" t="inlineStr">
        <is>
          <t>GÖTENE</t>
        </is>
      </c>
      <c r="H191" t="inlineStr">
        <is>
          <t>Sveaskog</t>
        </is>
      </c>
      <c r="I191" t="n">
        <v>2.6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39837-2026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46290</v>
      </c>
      <c r="E192" s="1" t="n">
        <v>46318</v>
      </c>
      <c r="F192" t="inlineStr">
        <is>
          <t>VÄSTRA GÖTALANDS LÄN</t>
        </is>
      </c>
      <c r="G192" t="inlineStr">
        <is>
          <t>GÖTENE</t>
        </is>
      </c>
      <c r="H192" t="inlineStr">
        <is>
          <t>Sveaskog</t>
        </is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13268-2024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45386</v>
      </c>
      <c r="E193" s="1" t="n">
        <v>46318</v>
      </c>
      <c r="F193" t="inlineStr">
        <is>
          <t>VÄSTRA GÖTALANDS LÄN</t>
        </is>
      </c>
      <c r="G193" t="inlineStr">
        <is>
          <t>GÖTENE</t>
        </is>
      </c>
      <c r="I193" t="n">
        <v>6.7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34008-2026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46252</v>
      </c>
      <c r="E194" s="1" t="n">
        <v>46318</v>
      </c>
      <c r="F194" t="inlineStr">
        <is>
          <t>VÄSTRA GÖTALANDS LÄN</t>
        </is>
      </c>
      <c r="G194" t="inlineStr">
        <is>
          <t>GÖTENE</t>
        </is>
      </c>
      <c r="I194" t="n">
        <v>0.6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10451-2024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45366</v>
      </c>
      <c r="E195" s="1" t="n">
        <v>46318</v>
      </c>
      <c r="F195" t="inlineStr">
        <is>
          <t>VÄSTRA GÖTALANDS LÄN</t>
        </is>
      </c>
      <c r="G195" t="inlineStr">
        <is>
          <t>GÖTENE</t>
        </is>
      </c>
      <c r="H195" t="inlineStr">
        <is>
          <t>Sveaskog</t>
        </is>
      </c>
      <c r="I195" t="n">
        <v>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12660-2023</t>
        </is>
      </c>
      <c r="B196" t="inlineStr">
        <is>
          <t>avverkningsanmälan</t>
        </is>
      </c>
      <c r="C196" t="inlineStr">
        <is>
          <t>Avverkning för annat ändamål</t>
        </is>
      </c>
      <c r="D196" s="1" t="n">
        <v>45000</v>
      </c>
      <c r="E196" s="1" t="n">
        <v>46318</v>
      </c>
      <c r="F196" t="inlineStr">
        <is>
          <t>VÄSTRA GÖTALANDS LÄN</t>
        </is>
      </c>
      <c r="G196" t="inlineStr">
        <is>
          <t>GÖTENE</t>
        </is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22055-2023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45069</v>
      </c>
      <c r="E197" s="1" t="n">
        <v>46318</v>
      </c>
      <c r="F197" t="inlineStr">
        <is>
          <t>VÄSTRA GÖTALANDS LÄN</t>
        </is>
      </c>
      <c r="G197" t="inlineStr">
        <is>
          <t>GÖTENE</t>
        </is>
      </c>
      <c r="I197" t="n">
        <v>0.7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10596-2024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45366</v>
      </c>
      <c r="E198" s="1" t="n">
        <v>46318</v>
      </c>
      <c r="F198" t="inlineStr">
        <is>
          <t>VÄSTRA GÖTALANDS LÄN</t>
        </is>
      </c>
      <c r="G198" t="inlineStr">
        <is>
          <t>GÖTENE</t>
        </is>
      </c>
      <c r="I198" t="n">
        <v>0.4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40837-2026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46296</v>
      </c>
      <c r="E199" s="1" t="n">
        <v>46318</v>
      </c>
      <c r="F199" t="inlineStr">
        <is>
          <t>VÄSTRA GÖTALANDS LÄN</t>
        </is>
      </c>
      <c r="G199" t="inlineStr">
        <is>
          <t>GÖTENE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28268-2023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45099</v>
      </c>
      <c r="E200" s="1" t="n">
        <v>46318</v>
      </c>
      <c r="F200" t="inlineStr">
        <is>
          <t>VÄSTRA GÖTALANDS LÄN</t>
        </is>
      </c>
      <c r="G200" t="inlineStr">
        <is>
          <t>GÖTENE</t>
        </is>
      </c>
      <c r="I200" t="n">
        <v>0.7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850-2023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44931</v>
      </c>
      <c r="E201" s="1" t="n">
        <v>46318</v>
      </c>
      <c r="F201" t="inlineStr">
        <is>
          <t>VÄSTRA GÖTALANDS LÄN</t>
        </is>
      </c>
      <c r="G201" t="inlineStr">
        <is>
          <t>GÖTENE</t>
        </is>
      </c>
      <c r="I201" t="n">
        <v>1.4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55764-2024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45623</v>
      </c>
      <c r="E202" s="1" t="n">
        <v>46318</v>
      </c>
      <c r="F202" t="inlineStr">
        <is>
          <t>VÄSTRA GÖTALANDS LÄN</t>
        </is>
      </c>
      <c r="G202" t="inlineStr">
        <is>
          <t>GÖTENE</t>
        </is>
      </c>
      <c r="I202" t="n">
        <v>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19674-2023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45051</v>
      </c>
      <c r="E203" s="1" t="n">
        <v>46318</v>
      </c>
      <c r="F203" t="inlineStr">
        <is>
          <t>VÄSTRA GÖTALANDS LÄN</t>
        </is>
      </c>
      <c r="G203" t="inlineStr">
        <is>
          <t>GÖTENE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19683-2023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45051</v>
      </c>
      <c r="E204" s="1" t="n">
        <v>46318</v>
      </c>
      <c r="F204" t="inlineStr">
        <is>
          <t>VÄSTRA GÖTALANDS LÄN</t>
        </is>
      </c>
      <c r="G204" t="inlineStr">
        <is>
          <t>GÖTENE</t>
        </is>
      </c>
      <c r="I204" t="n">
        <v>2.3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41584-2026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46302</v>
      </c>
      <c r="E205" s="1" t="n">
        <v>46318</v>
      </c>
      <c r="F205" t="inlineStr">
        <is>
          <t>VÄSTRA GÖTALANDS LÄN</t>
        </is>
      </c>
      <c r="G205" t="inlineStr">
        <is>
          <t>GÖTENE</t>
        </is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8765-2022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44614</v>
      </c>
      <c r="E206" s="1" t="n">
        <v>46318</v>
      </c>
      <c r="F206" t="inlineStr">
        <is>
          <t>VÄSTRA GÖTALANDS LÄN</t>
        </is>
      </c>
      <c r="G206" t="inlineStr">
        <is>
          <t>GÖTENE</t>
        </is>
      </c>
      <c r="H206" t="inlineStr">
        <is>
          <t>Kyrkan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52352-2023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45224</v>
      </c>
      <c r="E207" s="1" t="n">
        <v>46318</v>
      </c>
      <c r="F207" t="inlineStr">
        <is>
          <t>VÄSTRA GÖTALANDS LÄN</t>
        </is>
      </c>
      <c r="G207" t="inlineStr">
        <is>
          <t>GÖTENE</t>
        </is>
      </c>
      <c r="I207" t="n">
        <v>0.7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62510-2022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44924</v>
      </c>
      <c r="E208" s="1" t="n">
        <v>46318</v>
      </c>
      <c r="F208" t="inlineStr">
        <is>
          <t>VÄSTRA GÖTALANDS LÄN</t>
        </is>
      </c>
      <c r="G208" t="inlineStr">
        <is>
          <t>GÖTENE</t>
        </is>
      </c>
      <c r="H208" t="inlineStr">
        <is>
          <t>Övriga Aktiebolag</t>
        </is>
      </c>
      <c r="I208" t="n">
        <v>0.6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35869-2026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46266</v>
      </c>
      <c r="E209" s="1" t="n">
        <v>46318</v>
      </c>
      <c r="F209" t="inlineStr">
        <is>
          <t>VÄSTRA GÖTALANDS LÄN</t>
        </is>
      </c>
      <c r="G209" t="inlineStr">
        <is>
          <t>GÖTENE</t>
        </is>
      </c>
      <c r="I209" t="n">
        <v>1.4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35871-2026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46266</v>
      </c>
      <c r="E210" s="1" t="n">
        <v>46318</v>
      </c>
      <c r="F210" t="inlineStr">
        <is>
          <t>VÄSTRA GÖTALANDS LÄN</t>
        </is>
      </c>
      <c r="G210" t="inlineStr">
        <is>
          <t>GÖTENE</t>
        </is>
      </c>
      <c r="I210" t="n">
        <v>2.9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17876-2025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45758</v>
      </c>
      <c r="E211" s="1" t="n">
        <v>46318</v>
      </c>
      <c r="F211" t="inlineStr">
        <is>
          <t>VÄSTRA GÖTALANDS LÄN</t>
        </is>
      </c>
      <c r="G211" t="inlineStr">
        <is>
          <t>GÖTENE</t>
        </is>
      </c>
      <c r="I211" t="n">
        <v>4.2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13170-2024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45386</v>
      </c>
      <c r="E212" s="1" t="n">
        <v>46318</v>
      </c>
      <c r="F212" t="inlineStr">
        <is>
          <t>VÄSTRA GÖTALANDS LÄN</t>
        </is>
      </c>
      <c r="G212" t="inlineStr">
        <is>
          <t>GÖTENE</t>
        </is>
      </c>
      <c r="I212" t="n">
        <v>0.7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62390-2023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45268</v>
      </c>
      <c r="E213" s="1" t="n">
        <v>46318</v>
      </c>
      <c r="F213" t="inlineStr">
        <is>
          <t>VÄSTRA GÖTALANDS LÄN</t>
        </is>
      </c>
      <c r="G213" t="inlineStr">
        <is>
          <t>GÖTENE</t>
        </is>
      </c>
      <c r="I213" t="n">
        <v>1.8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62499-2022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44924</v>
      </c>
      <c r="E214" s="1" t="n">
        <v>46318</v>
      </c>
      <c r="F214" t="inlineStr">
        <is>
          <t>VÄSTRA GÖTALANDS LÄN</t>
        </is>
      </c>
      <c r="G214" t="inlineStr">
        <is>
          <t>GÖTENE</t>
        </is>
      </c>
      <c r="H214" t="inlineStr">
        <is>
          <t>Övriga Aktiebolag</t>
        </is>
      </c>
      <c r="I214" t="n">
        <v>1.6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10958-2022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44628</v>
      </c>
      <c r="E215" s="1" t="n">
        <v>46318</v>
      </c>
      <c r="F215" t="inlineStr">
        <is>
          <t>VÄSTRA GÖTALANDS LÄN</t>
        </is>
      </c>
      <c r="G215" t="inlineStr">
        <is>
          <t>GÖTENE</t>
        </is>
      </c>
      <c r="I215" t="n">
        <v>1.2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45239-2022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44844</v>
      </c>
      <c r="E216" s="1" t="n">
        <v>46318</v>
      </c>
      <c r="F216" t="inlineStr">
        <is>
          <t>VÄSTRA GÖTALANDS LÄN</t>
        </is>
      </c>
      <c r="G216" t="inlineStr">
        <is>
          <t>GÖTENE</t>
        </is>
      </c>
      <c r="H216" t="inlineStr">
        <is>
          <t>Sveaskog</t>
        </is>
      </c>
      <c r="I216" t="n">
        <v>1.7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15426-2025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45747</v>
      </c>
      <c r="E217" s="1" t="n">
        <v>46318</v>
      </c>
      <c r="F217" t="inlineStr">
        <is>
          <t>VÄSTRA GÖTALANDS LÄN</t>
        </is>
      </c>
      <c r="G217" t="inlineStr">
        <is>
          <t>GÖTENE</t>
        </is>
      </c>
      <c r="I217" t="n">
        <v>1.1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15442-2025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45747</v>
      </c>
      <c r="E218" s="1" t="n">
        <v>46318</v>
      </c>
      <c r="F218" t="inlineStr">
        <is>
          <t>VÄSTRA GÖTALANDS LÄN</t>
        </is>
      </c>
      <c r="G218" t="inlineStr">
        <is>
          <t>GÖTENE</t>
        </is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S 6120-2022</t>
        </is>
      </c>
      <c r="B219" t="inlineStr">
        <is>
          <t>samrådsanmälan</t>
        </is>
      </c>
      <c r="C219" t="inlineStr">
        <is>
          <t>Annan skogsbruksåtgärd</t>
        </is>
      </c>
      <c r="D219" s="1" t="n">
        <v>44862</v>
      </c>
      <c r="E219" s="1" t="n">
        <v>46318</v>
      </c>
      <c r="F219" t="inlineStr">
        <is>
          <t>VÄSTRA GÖTALANDS LÄN</t>
        </is>
      </c>
      <c r="G219" t="inlineStr">
        <is>
          <t>GÖTENE</t>
        </is>
      </c>
      <c r="I219" t="n">
        <v>2.1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S 615-2024</t>
        </is>
      </c>
      <c r="B220" t="inlineStr">
        <is>
          <t>samrådsanmälan</t>
        </is>
      </c>
      <c r="C220" t="inlineStr">
        <is>
          <t>Askåterföring</t>
        </is>
      </c>
      <c r="D220" s="1" t="n">
        <v>45352</v>
      </c>
      <c r="E220" s="1" t="n">
        <v>46318</v>
      </c>
      <c r="F220" t="inlineStr">
        <is>
          <t>VÄSTRA GÖTALANDS LÄN</t>
        </is>
      </c>
      <c r="G220" t="inlineStr">
        <is>
          <t>GÖTENE</t>
        </is>
      </c>
      <c r="I220" t="n">
        <v>19.1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>
      <c r="A221" t="inlineStr">
        <is>
          <t>S 614-2024</t>
        </is>
      </c>
      <c r="B221" t="inlineStr">
        <is>
          <t>samrådsanmälan</t>
        </is>
      </c>
      <c r="C221" t="inlineStr">
        <is>
          <t>Askåterföring</t>
        </is>
      </c>
      <c r="D221" s="1" t="n">
        <v>45352</v>
      </c>
      <c r="E221" s="1" t="n">
        <v>46318</v>
      </c>
      <c r="F221" t="inlineStr">
        <is>
          <t>VÄSTRA GÖTALANDS LÄN</t>
        </is>
      </c>
      <c r="G221" t="inlineStr">
        <is>
          <t>GÖTENE</t>
        </is>
      </c>
      <c r="I221" t="n">
        <v>11.4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2026-10-23T02:03:50Z</dcterms:created>
  <dcterms:modified xmlns:dcterms="http://purl.org/dc/terms/" xmlns:xsi="http://www.w3.org/2001/XMLSchema-instance" xsi:type="dcterms:W3CDTF">2026-10-23T02:03:50Z</dcterms:modified>
</cp:coreProperties>
</file>