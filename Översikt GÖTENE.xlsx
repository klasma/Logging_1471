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46304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46304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46304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46304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46304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46304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46304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46304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46304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46304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46304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46304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46304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46304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32909-2025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46304</v>
      </c>
      <c r="F16" t="inlineStr">
        <is>
          <t>VÄSTRA GÖTALANDS LÄN</t>
        </is>
      </c>
      <c r="G16" t="inlineStr">
        <is>
          <t>GÖTENE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HYPERLINK("https://klasma.github.io/Logging_1471/artfynd/A 32909-2025 artfynd.xlsx", "A 32909-2025")</f>
        <v/>
      </c>
      <c r="X16">
        <f>HYPERLINK("https://klasma.github.io/Logging_1471/kartor/A 32909-2025 karta.png", "A 32909-2025")</f>
        <v/>
      </c>
      <c r="Y16">
        <f>HYPERLINK("https://klasma.github.io/Logging_1471/kartor_geotiff/A 32909-2025 georefererad karta.tif", "A 32909-2025")</f>
        <v/>
      </c>
      <c r="AA16">
        <f>HYPERLINK("https://klasma.github.io/Logging_1471/klagomål/A 32909-2025 FSC-klagomål.docx", "A 32909-2025")</f>
        <v/>
      </c>
      <c r="AB16">
        <f>HYPERLINK("https://klasma.github.io/Logging_1471/klagomålsmail/A 32909-2025 FSC-klagomål mail.docx", "A 32909-2025")</f>
        <v/>
      </c>
      <c r="AC16">
        <f>HYPERLINK("https://klasma.github.io/Logging_1471/tillsyn/A 32909-2025 tillsynsbegäran.docx", "A 32909-2025")</f>
        <v/>
      </c>
      <c r="AD16">
        <f>HYPERLINK("https://klasma.github.io/Logging_1471/tillsynsmail/A 32909-2025 tillsynsbegäran mail.docx", "A 32909-2025")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46304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47393-2025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46304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47393-2025 artfynd.xlsx", "A 47393-2025")</f>
        <v/>
      </c>
      <c r="X18">
        <f>HYPERLINK("https://klasma.github.io/Logging_1471/kartor/A 47393-2025 karta.png", "A 47393-2025")</f>
        <v/>
      </c>
      <c r="Y18">
        <f>HYPERLINK("https://klasma.github.io/Logging_1471/kartor_geotiff/A 47393-2025 georefererad karta.tif", "A 47393-2025")</f>
        <v/>
      </c>
      <c r="AA18">
        <f>HYPERLINK("https://klasma.github.io/Logging_1471/klagomål/A 47393-2025 FSC-klagomål.docx", "A 47393-2025")</f>
        <v/>
      </c>
      <c r="AB18">
        <f>HYPERLINK("https://klasma.github.io/Logging_1471/klagomålsmail/A 47393-2025 FSC-klagomål mail.docx", "A 47393-2025")</f>
        <v/>
      </c>
      <c r="AC18">
        <f>HYPERLINK("https://klasma.github.io/Logging_1471/tillsyn/A 47393-2025 tillsynsbegäran.docx", "A 47393-2025")</f>
        <v/>
      </c>
      <c r="AD18">
        <f>HYPERLINK("https://klasma.github.io/Logging_1471/tillsynsmail/A 47393-2025 tillsynsbegäran mail.docx", "A 47393-2025")</f>
        <v/>
      </c>
    </row>
    <row r="19" ht="15" customHeight="1">
      <c r="A19" t="inlineStr">
        <is>
          <t>A 50366-2025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46304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50366-2025 artfynd.xlsx", "A 50366-2025")</f>
        <v/>
      </c>
      <c r="X19">
        <f>HYPERLINK("https://klasma.github.io/Logging_1471/kartor/A 50366-2025 karta.png", "A 50366-2025")</f>
        <v/>
      </c>
      <c r="Y19">
        <f>HYPERLINK("https://klasma.github.io/Logging_1471/kartor_geotiff/A 50366-2025 georefererad karta.tif", "A 50366-2025")</f>
        <v/>
      </c>
      <c r="AA19">
        <f>HYPERLINK("https://klasma.github.io/Logging_1471/klagomål/A 50366-2025 FSC-klagomål.docx", "A 50366-2025")</f>
        <v/>
      </c>
      <c r="AB19">
        <f>HYPERLINK("https://klasma.github.io/Logging_1471/klagomålsmail/A 50366-2025 FSC-klagomål mail.docx", "A 50366-2025")</f>
        <v/>
      </c>
      <c r="AC19">
        <f>HYPERLINK("https://klasma.github.io/Logging_1471/tillsyn/A 50366-2025 tillsynsbegäran.docx", "A 50366-2025")</f>
        <v/>
      </c>
      <c r="AD19">
        <f>HYPERLINK("https://klasma.github.io/Logging_1471/tillsynsmail/A 50366-2025 tillsynsbegäran mail.docx", "A 50366-2025")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46304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46304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46304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5086-2024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46304</v>
      </c>
      <c r="F23" t="inlineStr">
        <is>
          <t>VÄSTRA GÖTALANDS LÄN</t>
        </is>
      </c>
      <c r="G23" t="inlineStr">
        <is>
          <t>GÖTENE</t>
        </is>
      </c>
      <c r="I23" t="n">
        <v>4.5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1</v>
      </c>
      <c r="V23" s="2" t="inlineStr">
        <is>
          <t>Strävlosta</t>
        </is>
      </c>
      <c r="W23">
        <f>HYPERLINK("https://klasma.github.io/Logging_1471/artfynd/A 5086-2024 artfynd.xlsx", "A 5086-2024")</f>
        <v/>
      </c>
      <c r="X23">
        <f>HYPERLINK("https://klasma.github.io/Logging_1471/kartor/A 5086-2024 karta.png", "A 5086-2024")</f>
        <v/>
      </c>
      <c r="Y23">
        <f>HYPERLINK("https://klasma.github.io/Logging_1471/kartor_geotiff/A 5086-2024 georefererad karta.tif", "A 5086-2024")</f>
        <v/>
      </c>
      <c r="AA23">
        <f>HYPERLINK("https://klasma.github.io/Logging_1471/klagomål/A 5086-2024 FSC-klagomål.docx", "A 5086-2024")</f>
        <v/>
      </c>
      <c r="AB23">
        <f>HYPERLINK("https://klasma.github.io/Logging_1471/klagomålsmail/A 5086-2024 FSC-klagomål mail.docx", "A 5086-2024")</f>
        <v/>
      </c>
      <c r="AC23">
        <f>HYPERLINK("https://klasma.github.io/Logging_1471/tillsyn/A 5086-2024 tillsynsbegäran.docx", "A 5086-2024")</f>
        <v/>
      </c>
      <c r="AD23">
        <f>HYPERLINK("https://klasma.github.io/Logging_1471/tillsynsmail/A 5086-2024 tillsynsbegäran mail.docx", "A 5086-2024")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46304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46304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46304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46304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46304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46304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46304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46304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46304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46304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46304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46304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46304</v>
      </c>
      <c r="F36" t="inlineStr">
        <is>
          <t>VÄSTRA GÖTALANDS LÄN</t>
        </is>
      </c>
      <c r="G36" t="inlineStr">
        <is>
          <t>GÖTENE</t>
        </is>
      </c>
      <c r="H36" t="inlineStr">
        <is>
          <t>Kyrkan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63200-2021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44507</v>
      </c>
      <c r="E37" s="1" t="n">
        <v>46304</v>
      </c>
      <c r="F37" t="inlineStr">
        <is>
          <t>VÄSTRA GÖTALANDS LÄN</t>
        </is>
      </c>
      <c r="G37" t="inlineStr">
        <is>
          <t>GÖTENE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46304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46304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46304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46304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46304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46304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46304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46304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46304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46304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46304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46304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46304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46304</v>
      </c>
      <c r="F51" t="inlineStr">
        <is>
          <t>VÄSTRA GÖTALANDS LÄN</t>
        </is>
      </c>
      <c r="G51" t="inlineStr">
        <is>
          <t>GÖTENE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46304</v>
      </c>
      <c r="F52" t="inlineStr">
        <is>
          <t>VÄSTRA GÖTALANDS LÄN</t>
        </is>
      </c>
      <c r="G52" t="inlineStr">
        <is>
          <t>GÖTENE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46304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46304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46304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46304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46304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46304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46304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46304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46304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46304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46304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46304</v>
      </c>
      <c r="F64" t="inlineStr">
        <is>
          <t>VÄSTRA GÖTALANDS LÄN</t>
        </is>
      </c>
      <c r="G64" t="inlineStr">
        <is>
          <t>GÖTENE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46304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46304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61021-2022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44914</v>
      </c>
      <c r="E67" s="1" t="n">
        <v>46304</v>
      </c>
      <c r="F67" t="inlineStr">
        <is>
          <t>VÄSTRA GÖTALANDS LÄN</t>
        </is>
      </c>
      <c r="G67" t="inlineStr">
        <is>
          <t>GÖTENE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46304</v>
      </c>
      <c r="F68" t="inlineStr">
        <is>
          <t>VÄSTRA GÖTALANDS LÄN</t>
        </is>
      </c>
      <c r="G68" t="inlineStr">
        <is>
          <t>GÖTENE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46304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46304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45839</v>
      </c>
      <c r="E71" s="1" t="n">
        <v>46304</v>
      </c>
      <c r="F71" t="inlineStr">
        <is>
          <t>VÄSTRA GÖTALANDS LÄN</t>
        </is>
      </c>
      <c r="G71" t="inlineStr">
        <is>
          <t>GÖTENE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44967</v>
      </c>
      <c r="E72" s="1" t="n">
        <v>46304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Kyrkan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45632</v>
      </c>
      <c r="E73" s="1" t="n">
        <v>46304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Kyrkan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45034</v>
      </c>
      <c r="E74" s="1" t="n">
        <v>46304</v>
      </c>
      <c r="F74" t="inlineStr">
        <is>
          <t>VÄSTRA GÖTALANDS LÄN</t>
        </is>
      </c>
      <c r="G74" t="inlineStr">
        <is>
          <t>GÖTENE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45635</v>
      </c>
      <c r="E75" s="1" t="n">
        <v>46304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46304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61194-2024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46304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45894</v>
      </c>
      <c r="E78" s="1" t="n">
        <v>46304</v>
      </c>
      <c r="F78" t="inlineStr">
        <is>
          <t>VÄSTRA GÖTALANDS LÄN</t>
        </is>
      </c>
      <c r="G78" t="inlineStr">
        <is>
          <t>GÖTENE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46304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46304</v>
      </c>
      <c r="F80" t="inlineStr">
        <is>
          <t>VÄSTRA GÖTALANDS LÄN</t>
        </is>
      </c>
      <c r="G80" t="inlineStr">
        <is>
          <t>GÖTENE</t>
        </is>
      </c>
      <c r="I80" t="n">
        <v>14.7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45012</v>
      </c>
      <c r="E81" s="1" t="n">
        <v>46304</v>
      </c>
      <c r="F81" t="inlineStr">
        <is>
          <t>VÄSTRA GÖTALANDS LÄN</t>
        </is>
      </c>
      <c r="G81" t="inlineStr">
        <is>
          <t>GÖTENE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46304</v>
      </c>
      <c r="F82" t="inlineStr">
        <is>
          <t>VÄSTRA GÖTALANDS LÄN</t>
        </is>
      </c>
      <c r="G82" t="inlineStr">
        <is>
          <t>GÖTENE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44645</v>
      </c>
      <c r="E83" s="1" t="n">
        <v>46304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46304</v>
      </c>
      <c r="F84" t="inlineStr">
        <is>
          <t>VÄSTRA GÖTALANDS LÄN</t>
        </is>
      </c>
      <c r="G84" t="inlineStr">
        <is>
          <t>GÖTENE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45021</v>
      </c>
      <c r="E85" s="1" t="n">
        <v>46304</v>
      </c>
      <c r="F85" t="inlineStr">
        <is>
          <t>VÄSTRA GÖTALANDS LÄN</t>
        </is>
      </c>
      <c r="G85" t="inlineStr">
        <is>
          <t>GÖTENE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45361</v>
      </c>
      <c r="E86" s="1" t="n">
        <v>46304</v>
      </c>
      <c r="F86" t="inlineStr">
        <is>
          <t>VÄSTRA GÖTALANDS LÄN</t>
        </is>
      </c>
      <c r="G86" t="inlineStr">
        <is>
          <t>GÖTENE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46304</v>
      </c>
      <c r="F87" t="inlineStr">
        <is>
          <t>VÄSTRA GÖTALANDS LÄN</t>
        </is>
      </c>
      <c r="G87" t="inlineStr">
        <is>
          <t>GÖTENE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46304</v>
      </c>
      <c r="F88" t="inlineStr">
        <is>
          <t>VÄSTRA GÖTALANDS LÄN</t>
        </is>
      </c>
      <c r="G88" t="inlineStr">
        <is>
          <t>GÖTENE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46304</v>
      </c>
      <c r="F89" t="inlineStr">
        <is>
          <t>VÄSTRA GÖTALANDS LÄN</t>
        </is>
      </c>
      <c r="G89" t="inlineStr">
        <is>
          <t>GÖTENE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46304</v>
      </c>
      <c r="F90" t="inlineStr">
        <is>
          <t>VÄSTRA GÖTALANDS LÄN</t>
        </is>
      </c>
      <c r="G90" t="inlineStr">
        <is>
          <t>GÖTENE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46304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46304</v>
      </c>
      <c r="F92" t="inlineStr">
        <is>
          <t>VÄSTRA GÖTALANDS LÄN</t>
        </is>
      </c>
      <c r="G92" t="inlineStr">
        <is>
          <t>GÖTENE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13268-2024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45386</v>
      </c>
      <c r="E93" s="1" t="n">
        <v>46304</v>
      </c>
      <c r="F93" t="inlineStr">
        <is>
          <t>VÄSTRA GÖTALANDS LÄN</t>
        </is>
      </c>
      <c r="G93" t="inlineStr">
        <is>
          <t>GÖTENE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45366</v>
      </c>
      <c r="E94" s="1" t="n">
        <v>46304</v>
      </c>
      <c r="F94" t="inlineStr">
        <is>
          <t>VÄSTRA GÖTALANDS LÄN</t>
        </is>
      </c>
      <c r="G94" t="inlineStr">
        <is>
          <t>GÖTENE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12660-2023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45000</v>
      </c>
      <c r="E95" s="1" t="n">
        <v>46304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46304</v>
      </c>
      <c r="F96" t="inlineStr">
        <is>
          <t>VÄSTRA GÖTALANDS LÄN</t>
        </is>
      </c>
      <c r="G96" t="inlineStr">
        <is>
          <t>GÖTENE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45366</v>
      </c>
      <c r="E97" s="1" t="n">
        <v>46304</v>
      </c>
      <c r="F97" t="inlineStr">
        <is>
          <t>VÄSTRA GÖTALANDS LÄN</t>
        </is>
      </c>
      <c r="G97" t="inlineStr">
        <is>
          <t>GÖTENE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46304</v>
      </c>
      <c r="F98" t="inlineStr">
        <is>
          <t>VÄSTRA GÖTALANDS LÄN</t>
        </is>
      </c>
      <c r="G98" t="inlineStr">
        <is>
          <t>GÖTENE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44931</v>
      </c>
      <c r="E99" s="1" t="n">
        <v>46304</v>
      </c>
      <c r="F99" t="inlineStr">
        <is>
          <t>VÄSTRA GÖTALANDS LÄN</t>
        </is>
      </c>
      <c r="G99" t="inlineStr">
        <is>
          <t>GÖTENE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45623</v>
      </c>
      <c r="E100" s="1" t="n">
        <v>46304</v>
      </c>
      <c r="F100" t="inlineStr">
        <is>
          <t>VÄSTRA GÖTALANDS LÄN</t>
        </is>
      </c>
      <c r="G100" t="inlineStr">
        <is>
          <t>GÖTENE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46304</v>
      </c>
      <c r="F101" t="inlineStr">
        <is>
          <t>VÄSTRA GÖTALANDS LÄN</t>
        </is>
      </c>
      <c r="G101" t="inlineStr">
        <is>
          <t>GÖTENE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46304</v>
      </c>
      <c r="F102" t="inlineStr">
        <is>
          <t>VÄSTRA GÖTALANDS LÄN</t>
        </is>
      </c>
      <c r="G102" t="inlineStr">
        <is>
          <t>GÖTENE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46304</v>
      </c>
      <c r="F103" t="inlineStr">
        <is>
          <t>VÄSTRA GÖTALANDS LÄN</t>
        </is>
      </c>
      <c r="G103" t="inlineStr">
        <is>
          <t>GÖTENE</t>
        </is>
      </c>
      <c r="I103" t="n">
        <v>10.9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46304</v>
      </c>
      <c r="F104" t="inlineStr">
        <is>
          <t>VÄSTRA GÖTALANDS LÄN</t>
        </is>
      </c>
      <c r="G104" t="inlineStr">
        <is>
          <t>GÖTENE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46304</v>
      </c>
      <c r="F105" t="inlineStr">
        <is>
          <t>VÄSTRA GÖTALANDS LÄN</t>
        </is>
      </c>
      <c r="G105" t="inlineStr">
        <is>
          <t>GÖTENE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46304</v>
      </c>
      <c r="F106" t="inlineStr">
        <is>
          <t>VÄSTRA GÖTALANDS LÄN</t>
        </is>
      </c>
      <c r="G106" t="inlineStr">
        <is>
          <t>GÖTENE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19674-2023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46304</v>
      </c>
      <c r="F107" t="inlineStr">
        <is>
          <t>VÄSTRA GÖTALANDS LÄN</t>
        </is>
      </c>
      <c r="G107" t="inlineStr">
        <is>
          <t>GÖTENE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46304</v>
      </c>
      <c r="F108" t="inlineStr">
        <is>
          <t>VÄSTRA GÖTALANDS LÄN</t>
        </is>
      </c>
      <c r="G108" t="inlineStr">
        <is>
          <t>GÖTENE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46304</v>
      </c>
      <c r="F109" t="inlineStr">
        <is>
          <t>VÄSTRA GÖTALANDS LÄN</t>
        </is>
      </c>
      <c r="G109" t="inlineStr">
        <is>
          <t>GÖTENE</t>
        </is>
      </c>
      <c r="I109" t="n">
        <v>18.8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45051</v>
      </c>
      <c r="E110" s="1" t="n">
        <v>46304</v>
      </c>
      <c r="F110" t="inlineStr">
        <is>
          <t>VÄSTRA GÖTALANDS LÄN</t>
        </is>
      </c>
      <c r="G110" t="inlineStr">
        <is>
          <t>GÖTENE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46304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46304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46304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44614</v>
      </c>
      <c r="E114" s="1" t="n">
        <v>46304</v>
      </c>
      <c r="F114" t="inlineStr">
        <is>
          <t>VÄSTRA GÖTALANDS LÄN</t>
        </is>
      </c>
      <c r="G114" t="inlineStr">
        <is>
          <t>GÖTENE</t>
        </is>
      </c>
      <c r="H114" t="inlineStr">
        <is>
          <t>Kyrkan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45224</v>
      </c>
      <c r="E115" s="1" t="n">
        <v>46304</v>
      </c>
      <c r="F115" t="inlineStr">
        <is>
          <t>VÄSTRA GÖTALANDS LÄN</t>
        </is>
      </c>
      <c r="G115" t="inlineStr">
        <is>
          <t>GÖTENE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46304</v>
      </c>
      <c r="F116" t="inlineStr">
        <is>
          <t>VÄSTRA GÖTALANDS LÄN</t>
        </is>
      </c>
      <c r="G116" t="inlineStr">
        <is>
          <t>GÖTENE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62510-2022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44924</v>
      </c>
      <c r="E117" s="1" t="n">
        <v>46304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Övriga Aktiebolag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46304</v>
      </c>
      <c r="F118" t="inlineStr">
        <is>
          <t>VÄSTRA GÖTALANDS LÄN</t>
        </is>
      </c>
      <c r="G118" t="inlineStr">
        <is>
          <t>GÖTENE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46304</v>
      </c>
      <c r="F119" t="inlineStr">
        <is>
          <t>VÄSTRA GÖTALANDS LÄN</t>
        </is>
      </c>
      <c r="G119" t="inlineStr">
        <is>
          <t>GÖTENE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46304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44757</v>
      </c>
      <c r="E121" s="1" t="n">
        <v>46304</v>
      </c>
      <c r="F121" t="inlineStr">
        <is>
          <t>VÄSTRA GÖTALANDS LÄN</t>
        </is>
      </c>
      <c r="G121" t="inlineStr">
        <is>
          <t>GÖTENE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46304</v>
      </c>
      <c r="F122" t="inlineStr">
        <is>
          <t>VÄSTRA GÖTALANDS LÄN</t>
        </is>
      </c>
      <c r="G122" t="inlineStr">
        <is>
          <t>GÖTENE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46304</v>
      </c>
      <c r="F123" t="inlineStr">
        <is>
          <t>VÄSTRA GÖTALANDS LÄN</t>
        </is>
      </c>
      <c r="G123" t="inlineStr">
        <is>
          <t>GÖTENE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13170-2024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45386</v>
      </c>
      <c r="E124" s="1" t="n">
        <v>46304</v>
      </c>
      <c r="F124" t="inlineStr">
        <is>
          <t>VÄSTRA GÖTALANDS LÄN</t>
        </is>
      </c>
      <c r="G124" t="inlineStr">
        <is>
          <t>GÖTENE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46304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46304</v>
      </c>
      <c r="F126" t="inlineStr">
        <is>
          <t>VÄSTRA GÖTALANDS LÄN</t>
        </is>
      </c>
      <c r="G126" t="inlineStr">
        <is>
          <t>GÖTENE</t>
        </is>
      </c>
      <c r="H126" t="inlineStr">
        <is>
          <t>Övriga Aktiebolag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25594-2025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45803</v>
      </c>
      <c r="E127" s="1" t="n">
        <v>46304</v>
      </c>
      <c r="F127" t="inlineStr">
        <is>
          <t>VÄSTRA GÖTALANDS LÄN</t>
        </is>
      </c>
      <c r="G127" t="inlineStr">
        <is>
          <t>GÖTENE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46304</v>
      </c>
      <c r="F128" t="inlineStr">
        <is>
          <t>VÄSTRA GÖTALANDS LÄN</t>
        </is>
      </c>
      <c r="G128" t="inlineStr">
        <is>
          <t>GÖTENE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46304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46304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46304</v>
      </c>
      <c r="F131" t="inlineStr">
        <is>
          <t>VÄSTRA GÖTALANDS LÄN</t>
        </is>
      </c>
      <c r="G131" t="inlineStr">
        <is>
          <t>GÖTENE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46304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46304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46304</v>
      </c>
      <c r="F134" t="inlineStr">
        <is>
          <t>VÄSTRA GÖTALANDS LÄN</t>
        </is>
      </c>
      <c r="G134" t="inlineStr">
        <is>
          <t>GÖTENE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46304</v>
      </c>
      <c r="F135" t="inlineStr">
        <is>
          <t>VÄSTRA GÖTALANDS LÄN</t>
        </is>
      </c>
      <c r="G135" t="inlineStr">
        <is>
          <t>GÖTENE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33162-2024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45518</v>
      </c>
      <c r="E136" s="1" t="n">
        <v>46304</v>
      </c>
      <c r="F136" t="inlineStr">
        <is>
          <t>VÄSTRA GÖTALANDS LÄN</t>
        </is>
      </c>
      <c r="G136" t="inlineStr">
        <is>
          <t>GÖTENE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46304</v>
      </c>
      <c r="F137" t="inlineStr">
        <is>
          <t>VÄSTRA GÖTALANDS LÄN</t>
        </is>
      </c>
      <c r="G137" t="inlineStr">
        <is>
          <t>GÖTENE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20812-2026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46304</v>
      </c>
      <c r="F138" t="inlineStr">
        <is>
          <t>VÄSTRA GÖTALANDS LÄN</t>
        </is>
      </c>
      <c r="G138" t="inlineStr">
        <is>
          <t>GÖTENE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46083</v>
      </c>
      <c r="E139" s="1" t="n">
        <v>46304</v>
      </c>
      <c r="F139" t="inlineStr">
        <is>
          <t>VÄSTRA GÖTALANDS LÄN</t>
        </is>
      </c>
      <c r="G139" t="inlineStr">
        <is>
          <t>GÖTENE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46304</v>
      </c>
      <c r="F140" t="inlineStr">
        <is>
          <t>VÄSTRA GÖTALANDS LÄN</t>
        </is>
      </c>
      <c r="G140" t="inlineStr">
        <is>
          <t>GÖTENE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46083</v>
      </c>
      <c r="E141" s="1" t="n">
        <v>46304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46304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Övriga Aktiebolag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46147</v>
      </c>
      <c r="E143" s="1" t="n">
        <v>46304</v>
      </c>
      <c r="F143" t="inlineStr">
        <is>
          <t>VÄSTRA GÖTALANDS LÄN</t>
        </is>
      </c>
      <c r="G143" t="inlineStr">
        <is>
          <t>GÖTENE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46304</v>
      </c>
      <c r="F144" t="inlineStr">
        <is>
          <t>VÄSTRA GÖTALANDS LÄN</t>
        </is>
      </c>
      <c r="G144" t="inlineStr">
        <is>
          <t>GÖTENE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44638</v>
      </c>
      <c r="E145" s="1" t="n">
        <v>46304</v>
      </c>
      <c r="F145" t="inlineStr">
        <is>
          <t>VÄSTRA GÖTALANDS LÄN</t>
        </is>
      </c>
      <c r="G145" t="inlineStr">
        <is>
          <t>GÖTENE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21429-2022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44706</v>
      </c>
      <c r="E146" s="1" t="n">
        <v>46304</v>
      </c>
      <c r="F146" t="inlineStr">
        <is>
          <t>VÄSTRA GÖTALANDS LÄN</t>
        </is>
      </c>
      <c r="G146" t="inlineStr">
        <is>
          <t>GÖTENE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46304</v>
      </c>
      <c r="F147" t="inlineStr">
        <is>
          <t>VÄSTRA GÖTALANDS LÄN</t>
        </is>
      </c>
      <c r="G147" t="inlineStr">
        <is>
          <t>GÖTENE</t>
        </is>
      </c>
      <c r="I147" t="n">
        <v>19.7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46304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49256-2023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46304</v>
      </c>
      <c r="F149" t="inlineStr">
        <is>
          <t>VÄSTRA GÖTALANDS LÄN</t>
        </is>
      </c>
      <c r="G149" t="inlineStr">
        <is>
          <t>GÖTENE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46304</v>
      </c>
      <c r="F150" t="inlineStr">
        <is>
          <t>VÄSTRA GÖTALANDS LÄN</t>
        </is>
      </c>
      <c r="G150" t="inlineStr">
        <is>
          <t>GÖTENE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46160</v>
      </c>
      <c r="E151" s="1" t="n">
        <v>46304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46304</v>
      </c>
      <c r="F152" t="inlineStr">
        <is>
          <t>VÄSTRA GÖTALANDS LÄN</t>
        </is>
      </c>
      <c r="G152" t="inlineStr">
        <is>
          <t>GÖTENE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46304</v>
      </c>
      <c r="F153" t="inlineStr">
        <is>
          <t>VÄSTRA GÖTALANDS LÄN</t>
        </is>
      </c>
      <c r="G153" t="inlineStr">
        <is>
          <t>GÖTENE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46304</v>
      </c>
      <c r="F154" t="inlineStr">
        <is>
          <t>VÄSTRA GÖTALANDS LÄN</t>
        </is>
      </c>
      <c r="G154" t="inlineStr">
        <is>
          <t>GÖTENE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39150-2022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46304</v>
      </c>
      <c r="F155" t="inlineStr">
        <is>
          <t>VÄSTRA GÖTALANDS LÄN</t>
        </is>
      </c>
      <c r="G155" t="inlineStr">
        <is>
          <t>GÖTENE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46304</v>
      </c>
      <c r="F156" t="inlineStr">
        <is>
          <t>VÄSTRA GÖTALANDS LÄN</t>
        </is>
      </c>
      <c r="G156" t="inlineStr">
        <is>
          <t>GÖTENE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46304</v>
      </c>
      <c r="F157" t="inlineStr">
        <is>
          <t>VÄSTRA GÖTALANDS LÄN</t>
        </is>
      </c>
      <c r="G157" t="inlineStr">
        <is>
          <t>GÖTENE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44970</v>
      </c>
      <c r="E158" s="1" t="n">
        <v>46304</v>
      </c>
      <c r="F158" t="inlineStr">
        <is>
          <t>VÄSTRA GÖTALANDS LÄN</t>
        </is>
      </c>
      <c r="G158" t="inlineStr">
        <is>
          <t>GÖTENE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46304</v>
      </c>
      <c r="F159" t="inlineStr">
        <is>
          <t>VÄSTRA GÖTALANDS LÄN</t>
        </is>
      </c>
      <c r="G159" t="inlineStr">
        <is>
          <t>GÖTENE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45386</v>
      </c>
      <c r="E160" s="1" t="n">
        <v>46304</v>
      </c>
      <c r="F160" t="inlineStr">
        <is>
          <t>VÄSTRA GÖTALANDS LÄN</t>
        </is>
      </c>
      <c r="G160" t="inlineStr">
        <is>
          <t>GÖTENE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46304</v>
      </c>
      <c r="F161" t="inlineStr">
        <is>
          <t>VÄSTRA GÖTALANDS LÄN</t>
        </is>
      </c>
      <c r="G161" t="inlineStr">
        <is>
          <t>GÖTENE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25777-2026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46178</v>
      </c>
      <c r="E162" s="1" t="n">
        <v>46304</v>
      </c>
      <c r="F162" t="inlineStr">
        <is>
          <t>VÄSTRA GÖTALANDS LÄN</t>
        </is>
      </c>
      <c r="G162" t="inlineStr">
        <is>
          <t>GÖTENE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55511-2023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45238</v>
      </c>
      <c r="E163" s="1" t="n">
        <v>46304</v>
      </c>
      <c r="F163" t="inlineStr">
        <is>
          <t>VÄSTRA GÖTALANDS LÄN</t>
        </is>
      </c>
      <c r="G163" t="inlineStr">
        <is>
          <t>GÖTENE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46304</v>
      </c>
      <c r="F164" t="inlineStr">
        <is>
          <t>VÄSTRA GÖTALANDS LÄN</t>
        </is>
      </c>
      <c r="G164" t="inlineStr">
        <is>
          <t>GÖTENE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46304</v>
      </c>
      <c r="F165" t="inlineStr">
        <is>
          <t>VÄSTRA GÖTALANDS LÄN</t>
        </is>
      </c>
      <c r="G165" t="inlineStr">
        <is>
          <t>GÖTENE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46182</v>
      </c>
      <c r="E166" s="1" t="n">
        <v>46304</v>
      </c>
      <c r="F166" t="inlineStr">
        <is>
          <t>VÄSTRA GÖTALANDS LÄN</t>
        </is>
      </c>
      <c r="G166" t="inlineStr">
        <is>
          <t>GÖTENE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45210</v>
      </c>
      <c r="E167" s="1" t="n">
        <v>46304</v>
      </c>
      <c r="F167" t="inlineStr">
        <is>
          <t>VÄSTRA GÖTALANDS LÄN</t>
        </is>
      </c>
      <c r="G167" t="inlineStr">
        <is>
          <t>GÖTENE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46304</v>
      </c>
      <c r="F168" t="inlineStr">
        <is>
          <t>VÄSTRA GÖTALANDS LÄN</t>
        </is>
      </c>
      <c r="G168" t="inlineStr">
        <is>
          <t>GÖTENE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45099</v>
      </c>
      <c r="E169" s="1" t="n">
        <v>46304</v>
      </c>
      <c r="F169" t="inlineStr">
        <is>
          <t>VÄSTRA GÖTALANDS LÄN</t>
        </is>
      </c>
      <c r="G169" t="inlineStr">
        <is>
          <t>GÖTENE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46304</v>
      </c>
      <c r="F170" t="inlineStr">
        <is>
          <t>VÄSTRA GÖTALANDS LÄN</t>
        </is>
      </c>
      <c r="G170" t="inlineStr">
        <is>
          <t>GÖTENE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46304</v>
      </c>
      <c r="F171" t="inlineStr">
        <is>
          <t>VÄSTRA GÖTALANDS LÄN</t>
        </is>
      </c>
      <c r="G171" t="inlineStr">
        <is>
          <t>GÖTENE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36304-2023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45152</v>
      </c>
      <c r="E172" s="1" t="n">
        <v>46304</v>
      </c>
      <c r="F172" t="inlineStr">
        <is>
          <t>VÄSTRA GÖTALANDS LÄN</t>
        </is>
      </c>
      <c r="G172" t="inlineStr">
        <is>
          <t>GÖTENE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46304</v>
      </c>
      <c r="F173" t="inlineStr">
        <is>
          <t>VÄSTRA GÖTALANDS LÄN</t>
        </is>
      </c>
      <c r="G173" t="inlineStr">
        <is>
          <t>GÖTENE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46304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46304</v>
      </c>
      <c r="F175" t="inlineStr">
        <is>
          <t>VÄSTRA GÖTALANDS LÄN</t>
        </is>
      </c>
      <c r="G175" t="inlineStr">
        <is>
          <t>GÖTENE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46304</v>
      </c>
      <c r="F176" t="inlineStr">
        <is>
          <t>VÄSTRA GÖTALANDS LÄN</t>
        </is>
      </c>
      <c r="G176" t="inlineStr">
        <is>
          <t>GÖTENE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46304</v>
      </c>
      <c r="F177" t="inlineStr">
        <is>
          <t>VÄSTRA GÖTALANDS LÄN</t>
        </is>
      </c>
      <c r="G177" t="inlineStr">
        <is>
          <t>GÖTENE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46304</v>
      </c>
      <c r="F178" t="inlineStr">
        <is>
          <t>VÄSTRA GÖTALANDS LÄN</t>
        </is>
      </c>
      <c r="G178" t="inlineStr">
        <is>
          <t>GÖTENE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46304</v>
      </c>
      <c r="F179" t="inlineStr">
        <is>
          <t>VÄSTRA GÖTALANDS LÄN</t>
        </is>
      </c>
      <c r="G179" t="inlineStr">
        <is>
          <t>GÖTENE</t>
        </is>
      </c>
      <c r="H179" t="inlineStr">
        <is>
          <t>Sveaskog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46304</v>
      </c>
      <c r="F180" t="inlineStr">
        <is>
          <t>VÄSTRA GÖTALANDS LÄN</t>
        </is>
      </c>
      <c r="G180" t="inlineStr">
        <is>
          <t>GÖTENE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45373</v>
      </c>
      <c r="E181" s="1" t="n">
        <v>46304</v>
      </c>
      <c r="F181" t="inlineStr">
        <is>
          <t>VÄSTRA GÖTALANDS LÄN</t>
        </is>
      </c>
      <c r="G181" t="inlineStr">
        <is>
          <t>GÖTENE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45634</v>
      </c>
      <c r="E182" s="1" t="n">
        <v>46304</v>
      </c>
      <c r="F182" t="inlineStr">
        <is>
          <t>VÄSTRA GÖTALANDS LÄN</t>
        </is>
      </c>
      <c r="G182" t="inlineStr">
        <is>
          <t>GÖTENE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13345-2022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44645</v>
      </c>
      <c r="E183" s="1" t="n">
        <v>46304</v>
      </c>
      <c r="F183" t="inlineStr">
        <is>
          <t>VÄSTRA GÖTALANDS LÄN</t>
        </is>
      </c>
      <c r="G183" t="inlineStr">
        <is>
          <t>GÖTENE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46304</v>
      </c>
      <c r="F184" t="inlineStr">
        <is>
          <t>VÄSTRA GÖTALANDS LÄN</t>
        </is>
      </c>
      <c r="G184" t="inlineStr">
        <is>
          <t>GÖTENE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46219</v>
      </c>
      <c r="E185" s="1" t="n">
        <v>46304</v>
      </c>
      <c r="F185" t="inlineStr">
        <is>
          <t>VÄSTRA GÖTALANDS LÄN</t>
        </is>
      </c>
      <c r="G185" t="inlineStr">
        <is>
          <t>GÖTENE</t>
        </is>
      </c>
      <c r="I185" t="n">
        <v>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46220</v>
      </c>
      <c r="E186" s="1" t="n">
        <v>46304</v>
      </c>
      <c r="F186" t="inlineStr">
        <is>
          <t>VÄSTRA GÖTALANDS LÄN</t>
        </is>
      </c>
      <c r="G186" t="inlineStr">
        <is>
          <t>GÖTENE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46220</v>
      </c>
      <c r="E187" s="1" t="n">
        <v>46304</v>
      </c>
      <c r="F187" t="inlineStr">
        <is>
          <t>VÄSTRA GÖTALANDS LÄN</t>
        </is>
      </c>
      <c r="G187" t="inlineStr">
        <is>
          <t>GÖTENE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46219</v>
      </c>
      <c r="E188" s="1" t="n">
        <v>46304</v>
      </c>
      <c r="F188" t="inlineStr">
        <is>
          <t>VÄSTRA GÖTALANDS LÄN</t>
        </is>
      </c>
      <c r="G188" t="inlineStr">
        <is>
          <t>GÖTENE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44817</v>
      </c>
      <c r="E189" s="1" t="n">
        <v>46304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46304</v>
      </c>
      <c r="F190" t="inlineStr">
        <is>
          <t>VÄSTRA GÖTALANDS LÄN</t>
        </is>
      </c>
      <c r="G190" t="inlineStr">
        <is>
          <t>GÖTENE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35871-2026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46266</v>
      </c>
      <c r="E191" s="1" t="n">
        <v>46304</v>
      </c>
      <c r="F191" t="inlineStr">
        <is>
          <t>VÄSTRA GÖTALANDS LÄN</t>
        </is>
      </c>
      <c r="G191" t="inlineStr">
        <is>
          <t>GÖTENE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46304</v>
      </c>
      <c r="F192" t="inlineStr">
        <is>
          <t>VÄSTRA GÖTALANDS LÄN</t>
        </is>
      </c>
      <c r="G192" t="inlineStr">
        <is>
          <t>GÖTENE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44931</v>
      </c>
      <c r="E193" s="1" t="n">
        <v>46304</v>
      </c>
      <c r="F193" t="inlineStr">
        <is>
          <t>VÄSTRA GÖTALANDS LÄN</t>
        </is>
      </c>
      <c r="G193" t="inlineStr">
        <is>
          <t>GÖTENE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46304</v>
      </c>
      <c r="F194" t="inlineStr">
        <is>
          <t>VÄSTRA GÖTALANDS LÄN</t>
        </is>
      </c>
      <c r="G194" t="inlineStr">
        <is>
          <t>GÖTENE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44033-2024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45572</v>
      </c>
      <c r="E195" s="1" t="n">
        <v>46304</v>
      </c>
      <c r="F195" t="inlineStr">
        <is>
          <t>VÄSTRA GÖTALANDS LÄN</t>
        </is>
      </c>
      <c r="G195" t="inlineStr">
        <is>
          <t>GÖTENE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72879-2021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44547</v>
      </c>
      <c r="E196" s="1" t="n">
        <v>46304</v>
      </c>
      <c r="F196" t="inlineStr">
        <is>
          <t>VÄSTRA GÖTALANDS LÄN</t>
        </is>
      </c>
      <c r="G196" t="inlineStr">
        <is>
          <t>GÖTENE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46304</v>
      </c>
      <c r="F197" t="inlineStr">
        <is>
          <t>VÄSTRA GÖTALANDS LÄN</t>
        </is>
      </c>
      <c r="G197" t="inlineStr">
        <is>
          <t>GÖTENE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21285-2024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46304</v>
      </c>
      <c r="F198" t="inlineStr">
        <is>
          <t>VÄSTRA GÖTALANDS LÄN</t>
        </is>
      </c>
      <c r="G198" t="inlineStr">
        <is>
          <t>GÖTENE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46304</v>
      </c>
      <c r="F199" t="inlineStr">
        <is>
          <t>VÄSTRA GÖTALANDS LÄN</t>
        </is>
      </c>
      <c r="G199" t="inlineStr">
        <is>
          <t>GÖTENE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46237</v>
      </c>
      <c r="E200" s="1" t="n">
        <v>46304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Övriga Aktiebolag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46238</v>
      </c>
      <c r="E201" s="1" t="n">
        <v>46304</v>
      </c>
      <c r="F201" t="inlineStr">
        <is>
          <t>VÄSTRA GÖTALANDS LÄN</t>
        </is>
      </c>
      <c r="G201" t="inlineStr">
        <is>
          <t>GÖTENE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46238</v>
      </c>
      <c r="E202" s="1" t="n">
        <v>46304</v>
      </c>
      <c r="F202" t="inlineStr">
        <is>
          <t>VÄSTRA GÖTALANDS LÄN</t>
        </is>
      </c>
      <c r="G202" t="inlineStr">
        <is>
          <t>GÖTENE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46304</v>
      </c>
      <c r="F203" t="inlineStr">
        <is>
          <t>VÄSTRA GÖTALANDS LÄN</t>
        </is>
      </c>
      <c r="G203" t="inlineStr">
        <is>
          <t>GÖTENE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46304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45000</v>
      </c>
      <c r="E205" s="1" t="n">
        <v>46304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16341-2025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45751</v>
      </c>
      <c r="E206" s="1" t="n">
        <v>46304</v>
      </c>
      <c r="F206" t="inlineStr">
        <is>
          <t>VÄSTRA GÖTALANDS LÄN</t>
        </is>
      </c>
      <c r="G206" t="inlineStr">
        <is>
          <t>GÖTENE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46304</v>
      </c>
      <c r="F207" t="inlineStr">
        <is>
          <t>VÄSTRA GÖTALANDS LÄN</t>
        </is>
      </c>
      <c r="G207" t="inlineStr">
        <is>
          <t>GÖTENE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46304</v>
      </c>
      <c r="F208" t="inlineStr">
        <is>
          <t>VÄSTRA GÖTALANDS LÄN</t>
        </is>
      </c>
      <c r="G208" t="inlineStr">
        <is>
          <t>GÖTENE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46304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46304</v>
      </c>
      <c r="F210" t="inlineStr">
        <is>
          <t>VÄSTRA GÖTALANDS LÄN</t>
        </is>
      </c>
      <c r="G210" t="inlineStr">
        <is>
          <t>GÖTENE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46290</v>
      </c>
      <c r="E211" s="1" t="n">
        <v>46304</v>
      </c>
      <c r="F211" t="inlineStr">
        <is>
          <t>VÄSTRA GÖTALANDS LÄN</t>
        </is>
      </c>
      <c r="G211" t="inlineStr">
        <is>
          <t>GÖTENE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26105-2025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45805</v>
      </c>
      <c r="E212" s="1" t="n">
        <v>46304</v>
      </c>
      <c r="F212" t="inlineStr">
        <is>
          <t>VÄSTRA GÖTALANDS LÄN</t>
        </is>
      </c>
      <c r="G212" t="inlineStr">
        <is>
          <t>GÖTENE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46304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45722</v>
      </c>
      <c r="E214" s="1" t="n">
        <v>46304</v>
      </c>
      <c r="F214" t="inlineStr">
        <is>
          <t>VÄSTRA GÖTALANDS LÄN</t>
        </is>
      </c>
      <c r="G214" t="inlineStr">
        <is>
          <t>GÖTENE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46290</v>
      </c>
      <c r="E215" s="1" t="n">
        <v>46304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46304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39837-2026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46304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46304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Övriga Aktiebolag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46252</v>
      </c>
      <c r="E219" s="1" t="n">
        <v>46304</v>
      </c>
      <c r="F219" t="inlineStr">
        <is>
          <t>VÄSTRA GÖTALANDS LÄN</t>
        </is>
      </c>
      <c r="G219" t="inlineStr">
        <is>
          <t>GÖTENE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46266</v>
      </c>
      <c r="E220" s="1" t="n">
        <v>46304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46304</v>
      </c>
      <c r="F221" t="inlineStr">
        <is>
          <t>VÄSTRA GÖTALANDS LÄN</t>
        </is>
      </c>
      <c r="G221" t="inlineStr">
        <is>
          <t>GÖTENE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46296</v>
      </c>
      <c r="E222" s="1" t="n">
        <v>46304</v>
      </c>
      <c r="F222" t="inlineStr">
        <is>
          <t>VÄSTRA GÖTALANDS LÄN</t>
        </is>
      </c>
      <c r="G222" t="inlineStr">
        <is>
          <t>GÖTENE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46302</v>
      </c>
      <c r="E223" s="1" t="n">
        <v>46304</v>
      </c>
      <c r="F223" t="inlineStr">
        <is>
          <t>VÄSTRA GÖTALANDS LÄN</t>
        </is>
      </c>
      <c r="G223" t="inlineStr">
        <is>
          <t>GÖTENE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46304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46304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46304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2026-10-09T02:08:45Z</dcterms:created>
  <dcterms:modified xmlns:dcterms="http://purl.org/dc/terms/" xmlns:xsi="http://www.w3.org/2001/XMLSchema-instance" xsi:type="dcterms:W3CDTF">2026-10-09T02:08:46Z</dcterms:modified>
</cp:coreProperties>
</file>