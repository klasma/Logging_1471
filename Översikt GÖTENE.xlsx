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46237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46237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46237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46237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46237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34562-2025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45847</v>
      </c>
      <c r="E7" s="1" t="n">
        <v>46237</v>
      </c>
      <c r="F7" t="inlineStr">
        <is>
          <t>VÄSTRA GÖTALANDS LÄN</t>
        </is>
      </c>
      <c r="G7" t="inlineStr">
        <is>
          <t>GÖTENE</t>
        </is>
      </c>
      <c r="I7" t="n">
        <v>11.1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Rävticka
Strimspindling</t>
        </is>
      </c>
      <c r="W7">
        <f>HYPERLINK("https://klasma.github.io/Logging_1471/artfynd/A 34562-2025 artfynd.xlsx", "A 34562-2025")</f>
        <v/>
      </c>
      <c r="X7">
        <f>HYPERLINK("https://klasma.github.io/Logging_1471/kartor/A 34562-2025 karta.png", "A 34562-2025")</f>
        <v/>
      </c>
      <c r="Y7">
        <f>HYPERLINK("https://klasma.github.io/Logging_1471/kartor_geotiff/A 34562-2025 georefererad karta.tif", "A 34562-2025")</f>
        <v/>
      </c>
      <c r="AA7">
        <f>HYPERLINK("https://klasma.github.io/Logging_1471/klagomål/A 34562-2025 FSC-klagomål.docx", "A 34562-2025")</f>
        <v/>
      </c>
      <c r="AB7">
        <f>HYPERLINK("https://klasma.github.io/Logging_1471/klagomålsmail/A 34562-2025 FSC-klagomål mail.docx", "A 34562-2025")</f>
        <v/>
      </c>
      <c r="AC7">
        <f>HYPERLINK("https://klasma.github.io/Logging_1471/tillsyn/A 34562-2025 tillsynsbegäran.docx", "A 34562-2025")</f>
        <v/>
      </c>
      <c r="AD7">
        <f>HYPERLINK("https://klasma.github.io/Logging_1471/tillsynsmail/A 34562-2025 tillsynsbegäran mail.docx", "A 34562-2025")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46237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46237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46237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46237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46237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46237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46237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46237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46237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46237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46237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46237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31326-2026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46219</v>
      </c>
      <c r="E20" s="1" t="n">
        <v>46237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Talltita</t>
        </is>
      </c>
      <c r="W20">
        <f>HYPERLINK("https://klasma.github.io/Logging_1471/artfynd/A 31326-2026 artfynd.xlsx", "A 31326-2026")</f>
        <v/>
      </c>
      <c r="X20">
        <f>HYPERLINK("https://klasma.github.io/Logging_1471/kartor/A 31326-2026 karta.png", "A 31326-2026")</f>
        <v/>
      </c>
      <c r="Y20">
        <f>HYPERLINK("https://klasma.github.io/Logging_1471/kartor_geotiff/A 31326-2026 georefererad karta.tif", "A 31326-2026")</f>
        <v/>
      </c>
      <c r="AA20">
        <f>HYPERLINK("https://klasma.github.io/Logging_1471/klagomål/A 31326-2026 FSC-klagomål.docx", "A 31326-2026")</f>
        <v/>
      </c>
      <c r="AB20">
        <f>HYPERLINK("https://klasma.github.io/Logging_1471/klagomålsmail/A 31326-2026 FSC-klagomål mail.docx", "A 31326-2026")</f>
        <v/>
      </c>
      <c r="AC20">
        <f>HYPERLINK("https://klasma.github.io/Logging_1471/tillsyn/A 31326-2026 tillsynsbegäran.docx", "A 31326-2026")</f>
        <v/>
      </c>
      <c r="AD20">
        <f>HYPERLINK("https://klasma.github.io/Logging_1471/tillsynsmail/A 31326-2026 tillsynsbegäran mail.docx", "A 31326-2026")</f>
        <v/>
      </c>
      <c r="AE20">
        <f>HYPERLINK("https://klasma.github.io/Logging_1471/fåglar/A 31326-2026 prioriterade fågelarter.docx", "A 31326-2026")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46237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46237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46237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46237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46237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46237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46237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46237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46237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46237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46237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46237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46237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46237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46237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46237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46237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46237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46237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46237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46237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46237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46237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46237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46237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46237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46237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46237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46237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46237</v>
      </c>
      <c r="F50" t="inlineStr">
        <is>
          <t>VÄSTRA GÖTALANDS LÄN</t>
        </is>
      </c>
      <c r="G50" t="inlineStr">
        <is>
          <t>GÖTENE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46237</v>
      </c>
      <c r="F51" t="inlineStr">
        <is>
          <t>VÄSTRA GÖTALANDS LÄN</t>
        </is>
      </c>
      <c r="G51" t="inlineStr">
        <is>
          <t>GÖTENE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46237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46237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46237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46237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46237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46237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39150-2022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44817</v>
      </c>
      <c r="E58" s="1" t="n">
        <v>46237</v>
      </c>
      <c r="F58" t="inlineStr">
        <is>
          <t>VÄSTRA GÖTALANDS LÄN</t>
        </is>
      </c>
      <c r="G58" t="inlineStr">
        <is>
          <t>GÖTENE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44931</v>
      </c>
      <c r="E59" s="1" t="n">
        <v>46237</v>
      </c>
      <c r="F59" t="inlineStr">
        <is>
          <t>VÄSTRA GÖTALANDS LÄN</t>
        </is>
      </c>
      <c r="G59" t="inlineStr">
        <is>
          <t>GÖTENE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46237</v>
      </c>
      <c r="F60" t="inlineStr">
        <is>
          <t>VÄSTRA GÖTALANDS LÄN</t>
        </is>
      </c>
      <c r="G60" t="inlineStr">
        <is>
          <t>GÖTENE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45361</v>
      </c>
      <c r="E61" s="1" t="n">
        <v>46237</v>
      </c>
      <c r="F61" t="inlineStr">
        <is>
          <t>VÄSTRA GÖTALANDS LÄN</t>
        </is>
      </c>
      <c r="G61" t="inlineStr">
        <is>
          <t>GÖTENE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45251</v>
      </c>
      <c r="E62" s="1" t="n">
        <v>46237</v>
      </c>
      <c r="F62" t="inlineStr">
        <is>
          <t>VÄSTRA GÖTALANDS LÄN</t>
        </is>
      </c>
      <c r="G62" t="inlineStr">
        <is>
          <t>GÖTENE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72879-2021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46237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45239-2022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44844</v>
      </c>
      <c r="E64" s="1" t="n">
        <v>46237</v>
      </c>
      <c r="F64" t="inlineStr">
        <is>
          <t>VÄSTRA GÖTALANDS LÄN</t>
        </is>
      </c>
      <c r="G64" t="inlineStr">
        <is>
          <t>GÖTENE</t>
        </is>
      </c>
      <c r="H64" t="inlineStr">
        <is>
          <t>Sveaskog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46237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Övriga Aktiebolag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44924</v>
      </c>
      <c r="E66" s="1" t="n">
        <v>46237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46237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45099</v>
      </c>
      <c r="E68" s="1" t="n">
        <v>46237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45224</v>
      </c>
      <c r="E69" s="1" t="n">
        <v>46237</v>
      </c>
      <c r="F69" t="inlineStr">
        <is>
          <t>VÄSTRA GÖTALANDS LÄN</t>
        </is>
      </c>
      <c r="G69" t="inlineStr">
        <is>
          <t>GÖTENE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46237</v>
      </c>
      <c r="F70" t="inlineStr">
        <is>
          <t>VÄSTRA GÖTALANDS LÄN</t>
        </is>
      </c>
      <c r="G70" t="inlineStr">
        <is>
          <t>GÖTENE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46237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46237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46237</v>
      </c>
      <c r="F73" t="inlineStr">
        <is>
          <t>VÄSTRA GÖTALANDS LÄN</t>
        </is>
      </c>
      <c r="G73" t="inlineStr">
        <is>
          <t>GÖTENE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46237</v>
      </c>
      <c r="F74" t="inlineStr">
        <is>
          <t>VÄSTRA GÖTALANDS LÄN</t>
        </is>
      </c>
      <c r="G74" t="inlineStr">
        <is>
          <t>GÖTENE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46237</v>
      </c>
      <c r="F75" t="inlineStr">
        <is>
          <t>VÄSTRA GÖTALANDS LÄN</t>
        </is>
      </c>
      <c r="G75" t="inlineStr">
        <is>
          <t>GÖTENE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45634</v>
      </c>
      <c r="E76" s="1" t="n">
        <v>46237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46237</v>
      </c>
      <c r="F77" t="inlineStr">
        <is>
          <t>VÄSTRA GÖTALANDS LÄN</t>
        </is>
      </c>
      <c r="G77" t="inlineStr">
        <is>
          <t>GÖTENE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46237</v>
      </c>
      <c r="F78" t="inlineStr">
        <is>
          <t>VÄSTRA GÖTALANDS LÄN</t>
        </is>
      </c>
      <c r="G78" t="inlineStr">
        <is>
          <t>GÖTENE</t>
        </is>
      </c>
      <c r="I78" t="n">
        <v>14.7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45152</v>
      </c>
      <c r="E79" s="1" t="n">
        <v>46237</v>
      </c>
      <c r="F79" t="inlineStr">
        <is>
          <t>VÄSTRA GÖTALANDS LÄN</t>
        </is>
      </c>
      <c r="G79" t="inlineStr">
        <is>
          <t>GÖTENE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46237</v>
      </c>
      <c r="F80" t="inlineStr">
        <is>
          <t>VÄSTRA GÖTALANDS LÄN</t>
        </is>
      </c>
      <c r="G80" t="inlineStr">
        <is>
          <t>GÖTENE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45366</v>
      </c>
      <c r="E81" s="1" t="n">
        <v>46237</v>
      </c>
      <c r="F81" t="inlineStr">
        <is>
          <t>VÄSTRA GÖTALANDS LÄN</t>
        </is>
      </c>
      <c r="G81" t="inlineStr">
        <is>
          <t>GÖTENE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45007-2025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46237</v>
      </c>
      <c r="F82" t="inlineStr">
        <is>
          <t>VÄSTRA GÖTALANDS LÄN</t>
        </is>
      </c>
      <c r="G82" t="inlineStr">
        <is>
          <t>GÖTENE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46237</v>
      </c>
      <c r="F83" t="inlineStr">
        <is>
          <t>VÄSTRA GÖTALANDS LÄN</t>
        </is>
      </c>
      <c r="G83" t="inlineStr">
        <is>
          <t>GÖTENE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45013-2025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46237</v>
      </c>
      <c r="F84" t="inlineStr">
        <is>
          <t>VÄSTRA GÖTALANDS LÄN</t>
        </is>
      </c>
      <c r="G84" t="inlineStr">
        <is>
          <t>GÖTENE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46237</v>
      </c>
      <c r="F85" t="inlineStr">
        <is>
          <t>VÄSTRA GÖTALANDS LÄN</t>
        </is>
      </c>
      <c r="G85" t="inlineStr">
        <is>
          <t>GÖTENE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46237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45670</v>
      </c>
      <c r="E87" s="1" t="n">
        <v>46237</v>
      </c>
      <c r="F87" t="inlineStr">
        <is>
          <t>VÄSTRA GÖTALANDS LÄN</t>
        </is>
      </c>
      <c r="G87" t="inlineStr">
        <is>
          <t>GÖTENE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20710-2026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46237</v>
      </c>
      <c r="F88" t="inlineStr">
        <is>
          <t>VÄSTRA GÖTALANDS LÄN</t>
        </is>
      </c>
      <c r="G88" t="inlineStr">
        <is>
          <t>GÖTENE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46237</v>
      </c>
      <c r="F89" t="inlineStr">
        <is>
          <t>VÄSTRA GÖTALANDS LÄN</t>
        </is>
      </c>
      <c r="G89" t="inlineStr">
        <is>
          <t>GÖTENE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33162-2024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45518</v>
      </c>
      <c r="E90" s="1" t="n">
        <v>46237</v>
      </c>
      <c r="F90" t="inlineStr">
        <is>
          <t>VÄSTRA GÖTALANDS LÄN</t>
        </is>
      </c>
      <c r="G90" t="inlineStr">
        <is>
          <t>GÖTENE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46237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46237</v>
      </c>
      <c r="F92" t="inlineStr">
        <is>
          <t>VÄSTRA GÖTALANDS LÄN</t>
        </is>
      </c>
      <c r="G92" t="inlineStr">
        <is>
          <t>GÖTENE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46237</v>
      </c>
      <c r="F93" t="inlineStr">
        <is>
          <t>VÄSTRA GÖTALANDS LÄN</t>
        </is>
      </c>
      <c r="G93" t="inlineStr">
        <is>
          <t>GÖTENE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46237</v>
      </c>
      <c r="F94" t="inlineStr">
        <is>
          <t>VÄSTRA GÖTALANDS LÄN</t>
        </is>
      </c>
      <c r="G94" t="inlineStr">
        <is>
          <t>GÖTENE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46237</v>
      </c>
      <c r="F95" t="inlineStr">
        <is>
          <t>VÄSTRA GÖTALANDS LÄN</t>
        </is>
      </c>
      <c r="G95" t="inlineStr">
        <is>
          <t>GÖTENE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46237</v>
      </c>
      <c r="F96" t="inlineStr">
        <is>
          <t>VÄSTRA GÖTALANDS LÄN</t>
        </is>
      </c>
      <c r="G96" t="inlineStr">
        <is>
          <t>GÖTENE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46237</v>
      </c>
      <c r="F97" t="inlineStr">
        <is>
          <t>VÄSTRA GÖTALANDS LÄN</t>
        </is>
      </c>
      <c r="G97" t="inlineStr">
        <is>
          <t>GÖTENE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46237</v>
      </c>
      <c r="F98" t="inlineStr">
        <is>
          <t>VÄSTRA GÖTALANDS LÄN</t>
        </is>
      </c>
      <c r="G98" t="inlineStr">
        <is>
          <t>GÖTENE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45623</v>
      </c>
      <c r="E99" s="1" t="n">
        <v>46237</v>
      </c>
      <c r="F99" t="inlineStr">
        <is>
          <t>VÄSTRA GÖTALANDS LÄN</t>
        </is>
      </c>
      <c r="G99" t="inlineStr">
        <is>
          <t>GÖTENE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45624</v>
      </c>
      <c r="E100" s="1" t="n">
        <v>46237</v>
      </c>
      <c r="F100" t="inlineStr">
        <is>
          <t>VÄSTRA GÖTALANDS LÄN</t>
        </is>
      </c>
      <c r="G100" t="inlineStr">
        <is>
          <t>GÖTENE</t>
        </is>
      </c>
      <c r="I100" t="n">
        <v>19.7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44931</v>
      </c>
      <c r="E101" s="1" t="n">
        <v>46237</v>
      </c>
      <c r="F101" t="inlineStr">
        <is>
          <t>VÄSTRA GÖTALANDS LÄN</t>
        </is>
      </c>
      <c r="G101" t="inlineStr">
        <is>
          <t>GÖTENE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25594-2025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45803</v>
      </c>
      <c r="E102" s="1" t="n">
        <v>46237</v>
      </c>
      <c r="F102" t="inlineStr">
        <is>
          <t>VÄSTRA GÖTALANDS LÄN</t>
        </is>
      </c>
      <c r="G102" t="inlineStr">
        <is>
          <t>GÖTENE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46237</v>
      </c>
      <c r="F103" t="inlineStr">
        <is>
          <t>VÄSTRA GÖTALANDS LÄN</t>
        </is>
      </c>
      <c r="G103" t="inlineStr">
        <is>
          <t>GÖTENE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21376-2026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46147</v>
      </c>
      <c r="E104" s="1" t="n">
        <v>46237</v>
      </c>
      <c r="F104" t="inlineStr">
        <is>
          <t>VÄSTRA GÖTALANDS LÄN</t>
        </is>
      </c>
      <c r="G104" t="inlineStr">
        <is>
          <t>GÖTENE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21369-2026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46147</v>
      </c>
      <c r="E105" s="1" t="n">
        <v>46237</v>
      </c>
      <c r="F105" t="inlineStr">
        <is>
          <t>VÄSTRA GÖTALANDS LÄN</t>
        </is>
      </c>
      <c r="G105" t="inlineStr">
        <is>
          <t>GÖTENE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46237</v>
      </c>
      <c r="F106" t="inlineStr">
        <is>
          <t>VÄSTRA GÖTALANDS LÄN</t>
        </is>
      </c>
      <c r="G106" t="inlineStr">
        <is>
          <t>GÖTENE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46237</v>
      </c>
      <c r="F107" t="inlineStr">
        <is>
          <t>VÄSTRA GÖTALANDS LÄN</t>
        </is>
      </c>
      <c r="G107" t="inlineStr">
        <is>
          <t>GÖTENE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12660-2023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45000</v>
      </c>
      <c r="E108" s="1" t="n">
        <v>46237</v>
      </c>
      <c r="F108" t="inlineStr">
        <is>
          <t>VÄSTRA GÖTALANDS LÄN</t>
        </is>
      </c>
      <c r="G108" t="inlineStr">
        <is>
          <t>GÖTENE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46237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46237</v>
      </c>
      <c r="F110" t="inlineStr">
        <is>
          <t>VÄSTRA GÖTALANDS LÄN</t>
        </is>
      </c>
      <c r="G110" t="inlineStr">
        <is>
          <t>GÖTENE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46237</v>
      </c>
      <c r="F111" t="inlineStr">
        <is>
          <t>VÄSTRA GÖTALANDS LÄN</t>
        </is>
      </c>
      <c r="G111" t="inlineStr">
        <is>
          <t>GÖTENE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46237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46237</v>
      </c>
      <c r="F113" t="inlineStr">
        <is>
          <t>VÄSTRA GÖTALANDS LÄN</t>
        </is>
      </c>
      <c r="G113" t="inlineStr">
        <is>
          <t>GÖTENE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45119</v>
      </c>
      <c r="E114" s="1" t="n">
        <v>46237</v>
      </c>
      <c r="F114" t="inlineStr">
        <is>
          <t>VÄSTRA GÖTALANDS LÄN</t>
        </is>
      </c>
      <c r="G114" t="inlineStr">
        <is>
          <t>GÖTENE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46237</v>
      </c>
      <c r="F115" t="inlineStr">
        <is>
          <t>VÄSTRA GÖTALANDS LÄN</t>
        </is>
      </c>
      <c r="G115" t="inlineStr">
        <is>
          <t>GÖTENE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28647-2026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46198</v>
      </c>
      <c r="E116" s="1" t="n">
        <v>46237</v>
      </c>
      <c r="F116" t="inlineStr">
        <is>
          <t>VÄSTRA GÖTALANDS LÄN</t>
        </is>
      </c>
      <c r="G116" t="inlineStr">
        <is>
          <t>GÖTENE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46237</v>
      </c>
      <c r="F117" t="inlineStr">
        <is>
          <t>VÄSTRA GÖTALANDS LÄN</t>
        </is>
      </c>
      <c r="G117" t="inlineStr">
        <is>
          <t>GÖTENE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46160</v>
      </c>
      <c r="E118" s="1" t="n">
        <v>46237</v>
      </c>
      <c r="F118" t="inlineStr">
        <is>
          <t>VÄSTRA GÖTALANDS LÄN</t>
        </is>
      </c>
      <c r="G118" t="inlineStr">
        <is>
          <t>GÖTENE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46237</v>
      </c>
      <c r="F119" t="inlineStr">
        <is>
          <t>VÄSTRA GÖTALANDS LÄN</t>
        </is>
      </c>
      <c r="G119" t="inlineStr">
        <is>
          <t>GÖTENE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46237</v>
      </c>
      <c r="F120" t="inlineStr">
        <is>
          <t>VÄSTRA GÖTALANDS LÄN</t>
        </is>
      </c>
      <c r="G120" t="inlineStr">
        <is>
          <t>GÖTENE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46237</v>
      </c>
      <c r="F121" t="inlineStr">
        <is>
          <t>VÄSTRA GÖTALANDS LÄN</t>
        </is>
      </c>
      <c r="G121" t="inlineStr">
        <is>
          <t>GÖTENE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46237</v>
      </c>
      <c r="F122" t="inlineStr">
        <is>
          <t>VÄSTRA GÖTALANDS LÄN</t>
        </is>
      </c>
      <c r="G122" t="inlineStr">
        <is>
          <t>GÖTENE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46237</v>
      </c>
      <c r="F123" t="inlineStr">
        <is>
          <t>VÄSTRA GÖTALANDS LÄN</t>
        </is>
      </c>
      <c r="G123" t="inlineStr">
        <is>
          <t>GÖTENE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46237</v>
      </c>
      <c r="F124" t="inlineStr">
        <is>
          <t>VÄSTRA GÖTALANDS LÄN</t>
        </is>
      </c>
      <c r="G124" t="inlineStr">
        <is>
          <t>GÖTENE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46237</v>
      </c>
      <c r="F125" t="inlineStr">
        <is>
          <t>VÄSTRA GÖTALANDS LÄN</t>
        </is>
      </c>
      <c r="G125" t="inlineStr">
        <is>
          <t>GÖTENE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46237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22912-2026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46237</v>
      </c>
      <c r="F127" t="inlineStr">
        <is>
          <t>VÄSTRA GÖTALANDS LÄN</t>
        </is>
      </c>
      <c r="G127" t="inlineStr">
        <is>
          <t>GÖTENE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46237</v>
      </c>
      <c r="F128" t="inlineStr">
        <is>
          <t>VÄSTRA GÖTALANDS LÄN</t>
        </is>
      </c>
      <c r="G128" t="inlineStr">
        <is>
          <t>GÖTENE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46237</v>
      </c>
      <c r="F129" t="inlineStr">
        <is>
          <t>VÄSTRA GÖTALANDS LÄN</t>
        </is>
      </c>
      <c r="G129" t="inlineStr">
        <is>
          <t>GÖTENE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46237</v>
      </c>
      <c r="F130" t="inlineStr">
        <is>
          <t>VÄSTRA GÖTALANDS LÄN</t>
        </is>
      </c>
      <c r="G130" t="inlineStr">
        <is>
          <t>GÖTENE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46237</v>
      </c>
      <c r="F131" t="inlineStr">
        <is>
          <t>VÄSTRA GÖTALANDS LÄN</t>
        </is>
      </c>
      <c r="G131" t="inlineStr">
        <is>
          <t>GÖTENE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46237</v>
      </c>
      <c r="F132" t="inlineStr">
        <is>
          <t>VÄSTRA GÖTALANDS LÄN</t>
        </is>
      </c>
      <c r="G132" t="inlineStr">
        <is>
          <t>GÖTENE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46237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44924</v>
      </c>
      <c r="E134" s="1" t="n">
        <v>46237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Övriga Aktiebolag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61021-2022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44914</v>
      </c>
      <c r="E135" s="1" t="n">
        <v>46237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46237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Sveaskog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44931</v>
      </c>
      <c r="E137" s="1" t="n">
        <v>46237</v>
      </c>
      <c r="F137" t="inlineStr">
        <is>
          <t>VÄSTRA GÖTALANDS LÄN</t>
        </is>
      </c>
      <c r="G137" t="inlineStr">
        <is>
          <t>GÖTENE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46237</v>
      </c>
      <c r="F138" t="inlineStr">
        <is>
          <t>VÄSTRA GÖTALANDS LÄN</t>
        </is>
      </c>
      <c r="G138" t="inlineStr">
        <is>
          <t>GÖTENE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46237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46237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46237</v>
      </c>
      <c r="F141" t="inlineStr">
        <is>
          <t>VÄSTRA GÖTALANDS LÄN</t>
        </is>
      </c>
      <c r="G141" t="inlineStr">
        <is>
          <t>GÖTENE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46237</v>
      </c>
      <c r="F142" t="inlineStr">
        <is>
          <t>VÄSTRA GÖTALANDS LÄN</t>
        </is>
      </c>
      <c r="G142" t="inlineStr">
        <is>
          <t>GÖTENE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28258-2023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46237</v>
      </c>
      <c r="F143" t="inlineStr">
        <is>
          <t>VÄSTRA GÖTALANDS LÄN</t>
        </is>
      </c>
      <c r="G143" t="inlineStr">
        <is>
          <t>GÖTENE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46237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Sveaskog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45446</v>
      </c>
      <c r="E145" s="1" t="n">
        <v>46237</v>
      </c>
      <c r="F145" t="inlineStr">
        <is>
          <t>VÄSTRA GÖTALANDS LÄN</t>
        </is>
      </c>
      <c r="G145" t="inlineStr">
        <is>
          <t>GÖTENE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46237</v>
      </c>
      <c r="F146" t="inlineStr">
        <is>
          <t>VÄSTRA GÖTALANDS LÄN</t>
        </is>
      </c>
      <c r="G146" t="inlineStr">
        <is>
          <t>GÖTENE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46237</v>
      </c>
      <c r="F147" t="inlineStr">
        <is>
          <t>VÄSTRA GÖTALANDS LÄN</t>
        </is>
      </c>
      <c r="G147" t="inlineStr">
        <is>
          <t>GÖTENE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46237</v>
      </c>
      <c r="F148" t="inlineStr">
        <is>
          <t>VÄSTRA GÖTALANDS LÄN</t>
        </is>
      </c>
      <c r="G148" t="inlineStr">
        <is>
          <t>GÖTENE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46237</v>
      </c>
      <c r="F149" t="inlineStr">
        <is>
          <t>VÄSTRA GÖTALANDS LÄN</t>
        </is>
      </c>
      <c r="G149" t="inlineStr">
        <is>
          <t>GÖTENE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46237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46237</v>
      </c>
      <c r="F151" t="inlineStr">
        <is>
          <t>VÄSTRA GÖTALANDS LÄN</t>
        </is>
      </c>
      <c r="G151" t="inlineStr">
        <is>
          <t>GÖTENE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46237</v>
      </c>
      <c r="F152" t="inlineStr">
        <is>
          <t>VÄSTRA GÖTALANDS LÄN</t>
        </is>
      </c>
      <c r="G152" t="inlineStr">
        <is>
          <t>GÖTENE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46237</v>
      </c>
      <c r="F153" t="inlineStr">
        <is>
          <t>VÄSTRA GÖTALANDS LÄN</t>
        </is>
      </c>
      <c r="G153" t="inlineStr">
        <is>
          <t>GÖTENE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46237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46220</v>
      </c>
      <c r="E155" s="1" t="n">
        <v>46237</v>
      </c>
      <c r="F155" t="inlineStr">
        <is>
          <t>VÄSTRA GÖTALANDS LÄN</t>
        </is>
      </c>
      <c r="G155" t="inlineStr">
        <is>
          <t>GÖTENE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46220</v>
      </c>
      <c r="E156" s="1" t="n">
        <v>46237</v>
      </c>
      <c r="F156" t="inlineStr">
        <is>
          <t>VÄSTRA GÖTALANDS LÄN</t>
        </is>
      </c>
      <c r="G156" t="inlineStr">
        <is>
          <t>GÖTENE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46237</v>
      </c>
      <c r="F157" t="inlineStr">
        <is>
          <t>VÄSTRA GÖTALANDS LÄN</t>
        </is>
      </c>
      <c r="G157" t="inlineStr">
        <is>
          <t>GÖTENE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46237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46237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46237</v>
      </c>
      <c r="F160" t="inlineStr">
        <is>
          <t>VÄSTRA GÖTALANDS LÄN</t>
        </is>
      </c>
      <c r="G160" t="inlineStr">
        <is>
          <t>GÖTENE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46237</v>
      </c>
      <c r="F161" t="inlineStr">
        <is>
          <t>VÄSTRA GÖTALANDS LÄN</t>
        </is>
      </c>
      <c r="G161" t="inlineStr">
        <is>
          <t>GÖTENE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46219</v>
      </c>
      <c r="E162" s="1" t="n">
        <v>46237</v>
      </c>
      <c r="F162" t="inlineStr">
        <is>
          <t>VÄSTRA GÖTALANDS LÄN</t>
        </is>
      </c>
      <c r="G162" t="inlineStr">
        <is>
          <t>GÖTENE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46237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Övriga Aktiebolag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25777-2026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46178</v>
      </c>
      <c r="E164" s="1" t="n">
        <v>46237</v>
      </c>
      <c r="F164" t="inlineStr">
        <is>
          <t>VÄSTRA GÖTALANDS LÄN</t>
        </is>
      </c>
      <c r="G164" t="inlineStr">
        <is>
          <t>GÖTENE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46237</v>
      </c>
      <c r="F165" t="inlineStr">
        <is>
          <t>VÄSTRA GÖTALANDS LÄN</t>
        </is>
      </c>
      <c r="G165" t="inlineStr">
        <is>
          <t>GÖTENE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46237</v>
      </c>
      <c r="F166" t="inlineStr">
        <is>
          <t>VÄSTRA GÖTALANDS LÄN</t>
        </is>
      </c>
      <c r="G166" t="inlineStr">
        <is>
          <t>GÖTENE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13340-2022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46237</v>
      </c>
      <c r="F167" t="inlineStr">
        <is>
          <t>VÄSTRA GÖTALANDS LÄN</t>
        </is>
      </c>
      <c r="G167" t="inlineStr">
        <is>
          <t>GÖTENE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46237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46237</v>
      </c>
      <c r="F169" t="inlineStr">
        <is>
          <t>VÄSTRA GÖTALANDS LÄN</t>
        </is>
      </c>
      <c r="G169" t="inlineStr">
        <is>
          <t>GÖTENE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46237</v>
      </c>
      <c r="F170" t="inlineStr">
        <is>
          <t>VÄSTRA GÖTALANDS LÄN</t>
        </is>
      </c>
      <c r="G170" t="inlineStr">
        <is>
          <t>GÖTENE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45667</v>
      </c>
      <c r="E171" s="1" t="n">
        <v>46237</v>
      </c>
      <c r="F171" t="inlineStr">
        <is>
          <t>VÄSTRA GÖTALANDS LÄN</t>
        </is>
      </c>
      <c r="G171" t="inlineStr">
        <is>
          <t>GÖTENE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46237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46237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44645</v>
      </c>
      <c r="E174" s="1" t="n">
        <v>46237</v>
      </c>
      <c r="F174" t="inlineStr">
        <is>
          <t>VÄSTRA GÖTALANDS LÄN</t>
        </is>
      </c>
      <c r="G174" t="inlineStr">
        <is>
          <t>GÖTENE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46078</v>
      </c>
      <c r="E175" s="1" t="n">
        <v>46237</v>
      </c>
      <c r="F175" t="inlineStr">
        <is>
          <t>VÄSTRA GÖTALANDS LÄN</t>
        </is>
      </c>
      <c r="G175" t="inlineStr">
        <is>
          <t>GÖTENE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10635-2026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46237</v>
      </c>
      <c r="F176" t="inlineStr">
        <is>
          <t>VÄSTRA GÖTALANDS LÄN</t>
        </is>
      </c>
      <c r="G176" t="inlineStr">
        <is>
          <t>GÖTENE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46237</v>
      </c>
      <c r="F177" t="inlineStr">
        <is>
          <t>VÄSTRA GÖTALANDS LÄN</t>
        </is>
      </c>
      <c r="G177" t="inlineStr">
        <is>
          <t>GÖTENE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46237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46237</v>
      </c>
      <c r="F179" t="inlineStr">
        <is>
          <t>VÄSTRA GÖTALANDS LÄN</t>
        </is>
      </c>
      <c r="G179" t="inlineStr">
        <is>
          <t>GÖTENE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46237</v>
      </c>
      <c r="F180" t="inlineStr">
        <is>
          <t>VÄSTRA GÖTALANDS LÄN</t>
        </is>
      </c>
      <c r="G180" t="inlineStr">
        <is>
          <t>GÖTENE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46237</v>
      </c>
      <c r="F181" t="inlineStr">
        <is>
          <t>VÄSTRA GÖTALANDS LÄN</t>
        </is>
      </c>
      <c r="G181" t="inlineStr">
        <is>
          <t>GÖTENE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46078</v>
      </c>
      <c r="E182" s="1" t="n">
        <v>46237</v>
      </c>
      <c r="F182" t="inlineStr">
        <is>
          <t>VÄSTRA GÖTALANDS LÄN</t>
        </is>
      </c>
      <c r="G182" t="inlineStr">
        <is>
          <t>GÖTENE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46237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46078</v>
      </c>
      <c r="E184" s="1" t="n">
        <v>46237</v>
      </c>
      <c r="F184" t="inlineStr">
        <is>
          <t>VÄSTRA GÖTALANDS LÄN</t>
        </is>
      </c>
      <c r="G184" t="inlineStr">
        <is>
          <t>GÖTENE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46237</v>
      </c>
      <c r="F185" t="inlineStr">
        <is>
          <t>VÄSTRA GÖTALANDS LÄN</t>
        </is>
      </c>
      <c r="G185" t="inlineStr">
        <is>
          <t>GÖTENE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46083</v>
      </c>
      <c r="E186" s="1" t="n">
        <v>46237</v>
      </c>
      <c r="F186" t="inlineStr">
        <is>
          <t>VÄSTRA GÖTALANDS LÄN</t>
        </is>
      </c>
      <c r="G186" t="inlineStr">
        <is>
          <t>GÖTENE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46237</v>
      </c>
      <c r="F187" t="inlineStr">
        <is>
          <t>VÄSTRA GÖTALANDS LÄN</t>
        </is>
      </c>
      <c r="G187" t="inlineStr">
        <is>
          <t>GÖTENE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46237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Övriga Aktiebolag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44676</v>
      </c>
      <c r="E189" s="1" t="n">
        <v>46237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46237</v>
      </c>
      <c r="F190" t="inlineStr">
        <is>
          <t>VÄSTRA GÖTALANDS LÄN</t>
        </is>
      </c>
      <c r="G190" t="inlineStr">
        <is>
          <t>GÖTENE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46237</v>
      </c>
      <c r="F191" t="inlineStr">
        <is>
          <t>VÄSTRA GÖTALANDS LÄN</t>
        </is>
      </c>
      <c r="G191" t="inlineStr">
        <is>
          <t>GÖTENE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46237</v>
      </c>
      <c r="F192" t="inlineStr">
        <is>
          <t>VÄSTRA GÖTALANDS LÄN</t>
        </is>
      </c>
      <c r="G192" t="inlineStr">
        <is>
          <t>GÖTENE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44706</v>
      </c>
      <c r="E193" s="1" t="n">
        <v>46237</v>
      </c>
      <c r="F193" t="inlineStr">
        <is>
          <t>VÄSTRA GÖTALANDS LÄN</t>
        </is>
      </c>
      <c r="G193" t="inlineStr">
        <is>
          <t>GÖTENE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46237</v>
      </c>
      <c r="F194" t="inlineStr">
        <is>
          <t>VÄSTRA GÖTALANDS LÄN</t>
        </is>
      </c>
      <c r="G194" t="inlineStr">
        <is>
          <t>GÖTENE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46237</v>
      </c>
      <c r="F195" t="inlineStr">
        <is>
          <t>VÄSTRA GÖTALANDS LÄN</t>
        </is>
      </c>
      <c r="G195" t="inlineStr">
        <is>
          <t>GÖTENE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46237</v>
      </c>
      <c r="F196" t="inlineStr">
        <is>
          <t>VÄSTRA GÖTALANDS LÄN</t>
        </is>
      </c>
      <c r="G196" t="inlineStr">
        <is>
          <t>GÖTENE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46237</v>
      </c>
      <c r="F197" t="inlineStr">
        <is>
          <t>VÄSTRA GÖTALANDS LÄN</t>
        </is>
      </c>
      <c r="G197" t="inlineStr">
        <is>
          <t>GÖTENE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36472-2023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45152</v>
      </c>
      <c r="E198" s="1" t="n">
        <v>46237</v>
      </c>
      <c r="F198" t="inlineStr">
        <is>
          <t>VÄSTRA GÖTALANDS LÄN</t>
        </is>
      </c>
      <c r="G198" t="inlineStr">
        <is>
          <t>GÖTENE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46122</v>
      </c>
      <c r="E199" s="1" t="n">
        <v>46237</v>
      </c>
      <c r="F199" t="inlineStr">
        <is>
          <t>VÄSTRA GÖTALANDS LÄN</t>
        </is>
      </c>
      <c r="G199" t="inlineStr">
        <is>
          <t>GÖTENE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46237</v>
      </c>
      <c r="F200" t="inlineStr">
        <is>
          <t>VÄSTRA GÖTALANDS LÄN</t>
        </is>
      </c>
      <c r="G200" t="inlineStr">
        <is>
          <t>GÖTENE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46237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46237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46237</v>
      </c>
      <c r="F203" t="inlineStr">
        <is>
          <t>VÄSTRA GÖTALANDS LÄN</t>
        </is>
      </c>
      <c r="G203" t="inlineStr">
        <is>
          <t>GÖTENE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46237</v>
      </c>
      <c r="F204" t="inlineStr">
        <is>
          <t>VÄSTRA GÖTALANDS LÄN</t>
        </is>
      </c>
      <c r="G204" t="inlineStr">
        <is>
          <t>GÖTENE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44777</v>
      </c>
      <c r="E205" s="1" t="n">
        <v>46237</v>
      </c>
      <c r="F205" t="inlineStr">
        <is>
          <t>VÄSTRA GÖTALANDS LÄN</t>
        </is>
      </c>
      <c r="G205" t="inlineStr">
        <is>
          <t>GÖTENE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46237</v>
      </c>
      <c r="F206" t="inlineStr">
        <is>
          <t>VÄSTRA GÖTALANDS LÄN</t>
        </is>
      </c>
      <c r="G206" t="inlineStr">
        <is>
          <t>GÖTENE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12450-2022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44638</v>
      </c>
      <c r="E207" s="1" t="n">
        <v>46237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46237</v>
      </c>
      <c r="F208" t="inlineStr">
        <is>
          <t>VÄSTRA GÖTALANDS LÄN</t>
        </is>
      </c>
      <c r="G208" t="inlineStr">
        <is>
          <t>GÖTENE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44757</v>
      </c>
      <c r="E209" s="1" t="n">
        <v>46237</v>
      </c>
      <c r="F209" t="inlineStr">
        <is>
          <t>VÄSTRA GÖTALANDS LÄN</t>
        </is>
      </c>
      <c r="G209" t="inlineStr">
        <is>
          <t>GÖTENE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46237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16341-2025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45751</v>
      </c>
      <c r="E211" s="1" t="n">
        <v>46237</v>
      </c>
      <c r="F211" t="inlineStr">
        <is>
          <t>VÄSTRA GÖTALANDS LÄN</t>
        </is>
      </c>
      <c r="G211" t="inlineStr">
        <is>
          <t>GÖTENE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46237</v>
      </c>
      <c r="F212" t="inlineStr">
        <is>
          <t>VÄSTRA GÖTALANDS LÄN</t>
        </is>
      </c>
      <c r="G212" t="inlineStr">
        <is>
          <t>GÖTENE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46237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46237</v>
      </c>
      <c r="F214" t="inlineStr">
        <is>
          <t>VÄSTRA GÖTALANDS LÄN</t>
        </is>
      </c>
      <c r="G214" t="inlineStr">
        <is>
          <t>GÖTENE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46237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46237</v>
      </c>
      <c r="F216" t="inlineStr">
        <is>
          <t>VÄSTRA GÖTALANDS LÄN</t>
        </is>
      </c>
      <c r="G216" t="inlineStr">
        <is>
          <t>GÖTENE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46237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Kommuner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46237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46237</v>
      </c>
      <c r="F219" t="inlineStr">
        <is>
          <t>VÄSTRA GÖTALANDS LÄN</t>
        </is>
      </c>
      <c r="G219" t="inlineStr">
        <is>
          <t>GÖTENE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46237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26105-2025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45805</v>
      </c>
      <c r="E221" s="1" t="n">
        <v>46237</v>
      </c>
      <c r="F221" t="inlineStr">
        <is>
          <t>VÄSTRA GÖTALANDS LÄN</t>
        </is>
      </c>
      <c r="G221" t="inlineStr">
        <is>
          <t>GÖTENE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46237</v>
      </c>
      <c r="F222" t="inlineStr">
        <is>
          <t>VÄSTRA GÖTALANDS LÄN</t>
        </is>
      </c>
      <c r="G222" t="inlineStr">
        <is>
          <t>GÖTENE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45819</v>
      </c>
      <c r="E223" s="1" t="n">
        <v>46237</v>
      </c>
      <c r="F223" t="inlineStr">
        <is>
          <t>VÄSTRA GÖTALANDS LÄN</t>
        </is>
      </c>
      <c r="G223" t="inlineStr">
        <is>
          <t>GÖTENE</t>
        </is>
      </c>
      <c r="H223" t="inlineStr">
        <is>
          <t>Övriga Aktiebolag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46237</v>
      </c>
      <c r="F224" t="inlineStr">
        <is>
          <t>VÄSTRA GÖTALANDS LÄN</t>
        </is>
      </c>
      <c r="G224" t="inlineStr">
        <is>
          <t>GÖTENE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46237</v>
      </c>
      <c r="F225" t="inlineStr">
        <is>
          <t>VÄSTRA GÖTALANDS LÄN</t>
        </is>
      </c>
      <c r="G225" t="inlineStr">
        <is>
          <t>GÖTENE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44967</v>
      </c>
      <c r="E226" s="1" t="n">
        <v>46237</v>
      </c>
      <c r="F226" t="inlineStr">
        <is>
          <t>VÄSTRA GÖTALANDS LÄN</t>
        </is>
      </c>
      <c r="G226" t="inlineStr">
        <is>
          <t>GÖTENE</t>
        </is>
      </c>
      <c r="H226" t="inlineStr">
        <is>
          <t>Kyrkan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46237</v>
      </c>
      <c r="F227" t="inlineStr">
        <is>
          <t>VÄSTRA GÖTALANDS LÄN</t>
        </is>
      </c>
      <c r="G227" t="inlineStr">
        <is>
          <t>GÖTENE</t>
        </is>
      </c>
      <c r="H227" t="inlineStr">
        <is>
          <t>Kyrkan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45635</v>
      </c>
      <c r="E228" s="1" t="n">
        <v>46237</v>
      </c>
      <c r="F228" t="inlineStr">
        <is>
          <t>VÄSTRA GÖTALANDS LÄN</t>
        </is>
      </c>
      <c r="G228" t="inlineStr">
        <is>
          <t>GÖTENE</t>
        </is>
      </c>
      <c r="H228" t="inlineStr">
        <is>
          <t>Kyrkan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46237</v>
      </c>
      <c r="F229" t="inlineStr">
        <is>
          <t>VÄSTRA GÖTALANDS LÄN</t>
        </is>
      </c>
      <c r="G229" t="inlineStr">
        <is>
          <t>GÖTENE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6120-2022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44862</v>
      </c>
      <c r="E230" s="1" t="n">
        <v>46237</v>
      </c>
      <c r="F230" t="inlineStr">
        <is>
          <t>VÄSTRA GÖTALANDS LÄN</t>
        </is>
      </c>
      <c r="G230" t="inlineStr">
        <is>
          <t>GÖTENE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615-2024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45352</v>
      </c>
      <c r="E231" s="1" t="n">
        <v>46237</v>
      </c>
      <c r="F231" t="inlineStr">
        <is>
          <t>VÄSTRA GÖTALANDS LÄN</t>
        </is>
      </c>
      <c r="G231" t="inlineStr">
        <is>
          <t>GÖTENE</t>
        </is>
      </c>
      <c r="I231" t="n">
        <v>19.1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614-2024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45352</v>
      </c>
      <c r="E232" s="1" t="n">
        <v>46237</v>
      </c>
      <c r="F232" t="inlineStr">
        <is>
          <t>VÄSTRA GÖTALANDS LÄN</t>
        </is>
      </c>
      <c r="G232" t="inlineStr">
        <is>
          <t>GÖTENE</t>
        </is>
      </c>
      <c r="I232" t="n">
        <v>11.4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2026-08-03T01:58:22Z</dcterms:created>
  <dcterms:modified xmlns:dcterms="http://purl.org/dc/terms/" xmlns:xsi="http://www.w3.org/2001/XMLSchema-instance" xsi:type="dcterms:W3CDTF">2026-08-03T01:58:22Z</dcterms:modified>
</cp:coreProperties>
</file>