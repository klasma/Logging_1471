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46218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46218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46218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46218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46218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46218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46218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46218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46218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46218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46218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46218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Y13">
        <f>HYPERLINK("https://klasma.github.io/Logging_1471/klagomål/A 5086-2024 FSC-klagomål.docx", "A 5086-2024")</f>
        <v/>
      </c>
      <c r="Z13">
        <f>HYPERLINK("https://klasma.github.io/Logging_1471/klagomålsmail/A 5086-2024 FSC-klagomål mail.docx", "A 5086-2024")</f>
        <v/>
      </c>
      <c r="AA13">
        <f>HYPERLINK("https://klasma.github.io/Logging_1471/tillsyn/A 5086-2024 tillsynsbegäran.docx", "A 5086-2024")</f>
        <v/>
      </c>
      <c r="AB13">
        <f>HYPERLINK("https://klasma.github.io/Logging_1471/tillsynsmail/A 5086-2024 tillsynsbegäran mail.docx", "A 5086-2024")</f>
        <v/>
      </c>
    </row>
    <row r="14" ht="15" customHeight="1">
      <c r="A14" t="inlineStr">
        <is>
          <t>A 47393-2025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46218</v>
      </c>
      <c r="F14" t="inlineStr">
        <is>
          <t>VÄSTRA GÖTALANDS LÄN</t>
        </is>
      </c>
      <c r="G14" t="inlineStr">
        <is>
          <t>GÖTENE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Korallticka</t>
        </is>
      </c>
      <c r="V14">
        <f>HYPERLINK("https://klasma.github.io/Logging_1471/artfynd/A 47393-2025 artfynd.xlsx", "A 47393-2025")</f>
        <v/>
      </c>
      <c r="W14">
        <f>HYPERLINK("https://klasma.github.io/Logging_1471/kartor/A 47393-2025 karta.png", "A 47393-2025")</f>
        <v/>
      </c>
      <c r="Y14">
        <f>HYPERLINK("https://klasma.github.io/Logging_1471/klagomål/A 47393-2025 FSC-klagomål.docx", "A 47393-2025")</f>
        <v/>
      </c>
      <c r="Z14">
        <f>HYPERLINK("https://klasma.github.io/Logging_1471/klagomålsmail/A 47393-2025 FSC-klagomål mail.docx", "A 47393-2025")</f>
        <v/>
      </c>
      <c r="AA14">
        <f>HYPERLINK("https://klasma.github.io/Logging_1471/tillsyn/A 47393-2025 tillsynsbegäran.docx", "A 47393-2025")</f>
        <v/>
      </c>
      <c r="AB14">
        <f>HYPERLINK("https://klasma.github.io/Logging_1471/tillsynsmail/A 47393-2025 tillsynsbegäran mail.docx", "A 47393-2025")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46218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HYPERLINK("https://klasma.github.io/Logging_1471/artfynd/A 41724-2022 artfynd.xlsx", "A 41724-2022")</f>
        <v/>
      </c>
      <c r="W15">
        <f>HYPERLINK("https://klasma.github.io/Logging_1471/kartor/A 41724-2022 karta.png", "A 41724-2022")</f>
        <v/>
      </c>
      <c r="Y15">
        <f>HYPERLINK("https://klasma.github.io/Logging_1471/klagomål/A 41724-2022 FSC-klagomål.docx", "A 41724-2022")</f>
        <v/>
      </c>
      <c r="Z15">
        <f>HYPERLINK("https://klasma.github.io/Logging_1471/klagomålsmail/A 41724-2022 FSC-klagomål mail.docx", "A 41724-2022")</f>
        <v/>
      </c>
      <c r="AA15">
        <f>HYPERLINK("https://klasma.github.io/Logging_1471/tillsyn/A 41724-2022 tillsynsbegäran.docx", "A 41724-2022")</f>
        <v/>
      </c>
      <c r="AB15">
        <f>HYPERLINK("https://klasma.github.io/Logging_1471/tillsynsmail/A 41724-2022 tillsynsbegäran mail.docx", "A 41724-2022")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46218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Åkergroda</t>
        </is>
      </c>
      <c r="V16">
        <f>HYPERLINK("https://klasma.github.io/Logging_1471/artfynd/A 28273-2023 artfynd.xlsx", "A 28273-2023")</f>
        <v/>
      </c>
      <c r="W16">
        <f>HYPERLINK("https://klasma.github.io/Logging_1471/kartor/A 28273-2023 karta.png", "A 28273-2023")</f>
        <v/>
      </c>
      <c r="Y16">
        <f>HYPERLINK("https://klasma.github.io/Logging_1471/klagomål/A 28273-2023 FSC-klagomål.docx", "A 28273-2023")</f>
        <v/>
      </c>
      <c r="Z16">
        <f>HYPERLINK("https://klasma.github.io/Logging_1471/klagomålsmail/A 28273-2023 FSC-klagomål mail.docx", "A 28273-2023")</f>
        <v/>
      </c>
      <c r="AA16">
        <f>HYPERLINK("https://klasma.github.io/Logging_1471/tillsyn/A 28273-2023 tillsynsbegäran.docx", "A 28273-2023")</f>
        <v/>
      </c>
      <c r="AB16">
        <f>HYPERLINK("https://klasma.github.io/Logging_1471/tillsynsmail/A 28273-2023 tillsynsbegäran mail.docx", "A 28273-2023")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46218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50366-2025 artfynd.xlsx", "A 50366-2025")</f>
        <v/>
      </c>
      <c r="W17">
        <f>HYPERLINK("https://klasma.github.io/Logging_1471/kartor/A 50366-2025 karta.png", "A 50366-2025")</f>
        <v/>
      </c>
      <c r="Y17">
        <f>HYPERLINK("https://klasma.github.io/Logging_1471/klagomål/A 50366-2025 FSC-klagomål.docx", "A 50366-2025")</f>
        <v/>
      </c>
      <c r="Z17">
        <f>HYPERLINK("https://klasma.github.io/Logging_1471/klagomålsmail/A 50366-2025 FSC-klagomål mail.docx", "A 50366-2025")</f>
        <v/>
      </c>
      <c r="AA17">
        <f>HYPERLINK("https://klasma.github.io/Logging_1471/tillsyn/A 50366-2025 tillsynsbegäran.docx", "A 50366-2025")</f>
        <v/>
      </c>
      <c r="AB17">
        <f>HYPERLINK("https://klasma.github.io/Logging_1471/tillsynsmail/A 50366-2025 tillsynsbegäran mail.docx", "A 50366-2025")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46218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Kamjordstjärna</t>
        </is>
      </c>
      <c r="V18">
        <f>HYPERLINK("https://klasma.github.io/Logging_1471/artfynd/A 45211-2022 artfynd.xlsx", "A 45211-2022")</f>
        <v/>
      </c>
      <c r="W18">
        <f>HYPERLINK("https://klasma.github.io/Logging_1471/kartor/A 45211-2022 karta.png", "A 45211-2022")</f>
        <v/>
      </c>
      <c r="Y18">
        <f>HYPERLINK("https://klasma.github.io/Logging_1471/klagomål/A 45211-2022 FSC-klagomål.docx", "A 45211-2022")</f>
        <v/>
      </c>
      <c r="Z18">
        <f>HYPERLINK("https://klasma.github.io/Logging_1471/klagomålsmail/A 45211-2022 FSC-klagomål mail.docx", "A 45211-2022")</f>
        <v/>
      </c>
      <c r="AA18">
        <f>HYPERLINK("https://klasma.github.io/Logging_1471/tillsyn/A 45211-2022 tillsynsbegäran.docx", "A 45211-2022")</f>
        <v/>
      </c>
      <c r="AB18">
        <f>HYPERLINK("https://klasma.github.io/Logging_1471/tillsynsmail/A 45211-2022 tillsynsbegäran mail.docx", "A 45211-2022")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46218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Tibast</t>
        </is>
      </c>
      <c r="V19">
        <f>HYPERLINK("https://klasma.github.io/Logging_1471/artfynd/A 18647-2025 artfynd.xlsx", "A 18647-2025")</f>
        <v/>
      </c>
      <c r="W19">
        <f>HYPERLINK("https://klasma.github.io/Logging_1471/kartor/A 18647-2025 karta.png", "A 18647-2025")</f>
        <v/>
      </c>
      <c r="Y19">
        <f>HYPERLINK("https://klasma.github.io/Logging_1471/klagomål/A 18647-2025 FSC-klagomål.docx", "A 18647-2025")</f>
        <v/>
      </c>
      <c r="Z19">
        <f>HYPERLINK("https://klasma.github.io/Logging_1471/klagomålsmail/A 18647-2025 FSC-klagomål mail.docx", "A 18647-2025")</f>
        <v/>
      </c>
      <c r="AA19">
        <f>HYPERLINK("https://klasma.github.io/Logging_1471/tillsyn/A 18647-2025 tillsynsbegäran.docx", "A 18647-2025")</f>
        <v/>
      </c>
      <c r="AB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46218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Läderbagge</t>
        </is>
      </c>
      <c r="V20">
        <f>HYPERLINK("https://klasma.github.io/Logging_1471/artfynd/A 19083-2022 artfynd.xlsx", "A 19083-2022")</f>
        <v/>
      </c>
      <c r="W20">
        <f>HYPERLINK("https://klasma.github.io/Logging_1471/kartor/A 19083-2022 karta.png", "A 19083-2022")</f>
        <v/>
      </c>
      <c r="Y20">
        <f>HYPERLINK("https://klasma.github.io/Logging_1471/klagomål/A 19083-2022 FSC-klagomål.docx", "A 19083-2022")</f>
        <v/>
      </c>
      <c r="Z20">
        <f>HYPERLINK("https://klasma.github.io/Logging_1471/klagomålsmail/A 19083-2022 FSC-klagomål mail.docx", "A 19083-2022")</f>
        <v/>
      </c>
      <c r="AA20">
        <f>HYPERLINK("https://klasma.github.io/Logging_1471/tillsyn/A 19083-2022 tillsynsbegäran.docx", "A 19083-2022")</f>
        <v/>
      </c>
      <c r="AB20">
        <f>HYPERLINK("https://klasma.github.io/Logging_1471/tillsynsmail/A 19083-2022 tillsynsbegäran mail.docx", "A 19083-2022")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46218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Jungfrulin</t>
        </is>
      </c>
      <c r="V21">
        <f>HYPERLINK("https://klasma.github.io/Logging_1471/artfynd/A 32909-2025 artfynd.xlsx", "A 32909-2025")</f>
        <v/>
      </c>
      <c r="W21">
        <f>HYPERLINK("https://klasma.github.io/Logging_1471/kartor/A 32909-2025 karta.png", "A 32909-2025")</f>
        <v/>
      </c>
      <c r="Y21">
        <f>HYPERLINK("https://klasma.github.io/Logging_1471/klagomål/A 32909-2025 FSC-klagomål.docx", "A 32909-2025")</f>
        <v/>
      </c>
      <c r="Z21">
        <f>HYPERLINK("https://klasma.github.io/Logging_1471/klagomålsmail/A 32909-2025 FSC-klagomål mail.docx", "A 32909-2025")</f>
        <v/>
      </c>
      <c r="AA21">
        <f>HYPERLINK("https://klasma.github.io/Logging_1471/tillsyn/A 32909-2025 tillsynsbegäran.docx", "A 32909-2025")</f>
        <v/>
      </c>
      <c r="AB21">
        <f>HYPERLINK("https://klasma.github.io/Logging_1471/tillsynsmail/A 32909-2025 tillsynsbegäran mail.docx", "A 32909-2025")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46218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Pilgrimsfalk</t>
        </is>
      </c>
      <c r="V22">
        <f>HYPERLINK("https://klasma.github.io/Logging_1471/artfynd/A 14296-2023 artfynd.xlsx", "A 14296-2023")</f>
        <v/>
      </c>
      <c r="W22">
        <f>HYPERLINK("https://klasma.github.io/Logging_1471/kartor/A 14296-2023 karta.png", "A 14296-2023")</f>
        <v/>
      </c>
      <c r="Y22">
        <f>HYPERLINK("https://klasma.github.io/Logging_1471/klagomål/A 14296-2023 FSC-klagomål.docx", "A 14296-2023")</f>
        <v/>
      </c>
      <c r="Z22">
        <f>HYPERLINK("https://klasma.github.io/Logging_1471/klagomålsmail/A 14296-2023 FSC-klagomål mail.docx", "A 14296-2023")</f>
        <v/>
      </c>
      <c r="AA22">
        <f>HYPERLINK("https://klasma.github.io/Logging_1471/tillsyn/A 14296-2023 tillsynsbegäran.docx", "A 14296-2023")</f>
        <v/>
      </c>
      <c r="AB22">
        <f>HYPERLINK("https://klasma.github.io/Logging_1471/tillsynsmail/A 14296-2023 tillsynsbegäran mail.docx", "A 14296-2023")</f>
        <v/>
      </c>
      <c r="AC22">
        <f>HYPERLINK("https://klasma.github.io/Logging_1471/fåglar/A 14296-2023 prioriterade fågelarter.docx", "A 14296-2023")</f>
        <v/>
      </c>
    </row>
    <row r="23" ht="15" customHeight="1">
      <c r="A23" t="inlineStr">
        <is>
          <t>A 1895-2026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46035</v>
      </c>
      <c r="E23" s="1" t="n">
        <v>46218</v>
      </c>
      <c r="F23" t="inlineStr">
        <is>
          <t>VÄSTRA GÖTALANDS LÄN</t>
        </is>
      </c>
      <c r="G23" t="inlineStr">
        <is>
          <t>GÖTENE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Backmåra</t>
        </is>
      </c>
      <c r="V23">
        <f>HYPERLINK("https://klasma.github.io/Logging_1471/artfynd/A 1895-2026 artfynd.xlsx", "A 1895-2026")</f>
        <v/>
      </c>
      <c r="W23">
        <f>HYPERLINK("https://klasma.github.io/Logging_1471/kartor/A 1895-2026 karta.png", "A 1895-2026")</f>
        <v/>
      </c>
      <c r="Y23">
        <f>HYPERLINK("https://klasma.github.io/Logging_1471/klagomål/A 1895-2026 FSC-klagomål.docx", "A 1895-2026")</f>
        <v/>
      </c>
      <c r="Z23">
        <f>HYPERLINK("https://klasma.github.io/Logging_1471/klagomålsmail/A 1895-2026 FSC-klagomål mail.docx", "A 1895-2026")</f>
        <v/>
      </c>
      <c r="AA23">
        <f>HYPERLINK("https://klasma.github.io/Logging_1471/tillsyn/A 1895-2026 tillsynsbegäran.docx", "A 1895-2026")</f>
        <v/>
      </c>
      <c r="AB23">
        <f>HYPERLINK("https://klasma.github.io/Logging_1471/tillsynsmail/A 1895-2026 tillsynsbegäran mail.docx", "A 1895-2026")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46218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Kandelabersvamp</t>
        </is>
      </c>
      <c r="V24">
        <f>HYPERLINK("https://klasma.github.io/Logging_1471/artfynd/S 840-2024 artfynd.xlsx", "S 840-2024")</f>
        <v/>
      </c>
      <c r="W24">
        <f>HYPERLINK("https://klasma.github.io/Logging_1471/kartor/S 840-2024 karta.png", "S 840-2024")</f>
        <v/>
      </c>
      <c r="Y24">
        <f>HYPERLINK("https://klasma.github.io/Logging_1471/klagomål/S 840-2024 FSC-klagomål.docx", "S 840-2024")</f>
        <v/>
      </c>
      <c r="Z24">
        <f>HYPERLINK("https://klasma.github.io/Logging_1471/klagomålsmail/S 840-2024 FSC-klagomål mail.docx", "S 840-2024")</f>
        <v/>
      </c>
      <c r="AA24">
        <f>HYPERLINK("https://klasma.github.io/Logging_1471/tillsyn/S 840-2024 tillsynsbegäran.docx", "S 840-2024")</f>
        <v/>
      </c>
      <c r="AB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46218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46218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46218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46218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46218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46218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46218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46218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46218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46218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46218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48733-2022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46218</v>
      </c>
      <c r="F36" t="inlineStr">
        <is>
          <t>VÄSTRA GÖTALANDS LÄN</t>
        </is>
      </c>
      <c r="G36" t="inlineStr">
        <is>
          <t>GÖTENE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46218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46218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46218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46218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46218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38252-2021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44405</v>
      </c>
      <c r="E42" s="1" t="n">
        <v>46218</v>
      </c>
      <c r="F42" t="inlineStr">
        <is>
          <t>VÄSTRA GÖTALANDS LÄN</t>
        </is>
      </c>
      <c r="G42" t="inlineStr">
        <is>
          <t>GÖTENE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46218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46218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38945-2022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44816</v>
      </c>
      <c r="E45" s="1" t="n">
        <v>46218</v>
      </c>
      <c r="F45" t="inlineStr">
        <is>
          <t>VÄSTRA GÖTALANDS LÄN</t>
        </is>
      </c>
      <c r="G45" t="inlineStr">
        <is>
          <t>GÖTENE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38195-2022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46218</v>
      </c>
      <c r="F46" t="inlineStr">
        <is>
          <t>VÄSTRA GÖTALANDS LÄN</t>
        </is>
      </c>
      <c r="G46" t="inlineStr">
        <is>
          <t>GÖTENE</t>
        </is>
      </c>
      <c r="H46" t="inlineStr">
        <is>
          <t>Övriga Aktiebolag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46218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46218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46218</v>
      </c>
      <c r="F49" t="inlineStr">
        <is>
          <t>VÄSTRA GÖTALANDS LÄN</t>
        </is>
      </c>
      <c r="G49" t="inlineStr">
        <is>
          <t>GÖTENE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55496-2021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46218</v>
      </c>
      <c r="F50" t="inlineStr">
        <is>
          <t>VÄSTRA GÖTALANDS LÄN</t>
        </is>
      </c>
      <c r="G50" t="inlineStr">
        <is>
          <t>GÖTENE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51451-2022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46218</v>
      </c>
      <c r="F51" t="inlineStr">
        <is>
          <t>VÄSTRA GÖTALANDS LÄN</t>
        </is>
      </c>
      <c r="G51" t="inlineStr">
        <is>
          <t>GÖTENE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46218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46218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58418-2024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45634</v>
      </c>
      <c r="E54" s="1" t="n">
        <v>46218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59114-2021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44490</v>
      </c>
      <c r="E55" s="1" t="n">
        <v>46218</v>
      </c>
      <c r="F55" t="inlineStr">
        <is>
          <t>VÄSTRA GÖTALANDS LÄN</t>
        </is>
      </c>
      <c r="G55" t="inlineStr">
        <is>
          <t>GÖTENE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46218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46067-2021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46218</v>
      </c>
      <c r="F57" t="inlineStr">
        <is>
          <t>VÄSTRA GÖTALANDS LÄN</t>
        </is>
      </c>
      <c r="G57" t="inlineStr">
        <is>
          <t>GÖTENE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61148-2021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46218</v>
      </c>
      <c r="F58" t="inlineStr">
        <is>
          <t>VÄSTRA GÖTALANDS LÄN</t>
        </is>
      </c>
      <c r="G58" t="inlineStr">
        <is>
          <t>GÖTENE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46218</v>
      </c>
      <c r="F59" t="inlineStr">
        <is>
          <t>VÄSTRA GÖTALANDS LÄN</t>
        </is>
      </c>
      <c r="G59" t="inlineStr">
        <is>
          <t>GÖTENE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15428-2025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45747</v>
      </c>
      <c r="E60" s="1" t="n">
        <v>46218</v>
      </c>
      <c r="F60" t="inlineStr">
        <is>
          <t>VÄSTRA GÖTALANDS LÄN</t>
        </is>
      </c>
      <c r="G60" t="inlineStr">
        <is>
          <t>GÖTENE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15434-2025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46218</v>
      </c>
      <c r="F61" t="inlineStr">
        <is>
          <t>VÄSTRA GÖTALANDS LÄN</t>
        </is>
      </c>
      <c r="G61" t="inlineStr">
        <is>
          <t>GÖTENE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61194-2024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45645</v>
      </c>
      <c r="E62" s="1" t="n">
        <v>46218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39998-2025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45894</v>
      </c>
      <c r="E63" s="1" t="n">
        <v>46218</v>
      </c>
      <c r="F63" t="inlineStr">
        <is>
          <t>VÄSTRA GÖTALANDS LÄN</t>
        </is>
      </c>
      <c r="G63" t="inlineStr">
        <is>
          <t>GÖTENE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36381-2023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45152</v>
      </c>
      <c r="E64" s="1" t="n">
        <v>46218</v>
      </c>
      <c r="F64" t="inlineStr">
        <is>
          <t>VÄSTRA GÖTALANDS LÄN</t>
        </is>
      </c>
      <c r="G64" t="inlineStr">
        <is>
          <t>GÖTENE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8330-2024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45352</v>
      </c>
      <c r="E65" s="1" t="n">
        <v>46218</v>
      </c>
      <c r="F65" t="inlineStr">
        <is>
          <t>VÄSTRA GÖTALANDS LÄN</t>
        </is>
      </c>
      <c r="G65" t="inlineStr">
        <is>
          <t>GÖTENE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13268-2024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46218</v>
      </c>
      <c r="F66" t="inlineStr">
        <is>
          <t>VÄSTRA GÖTALANDS LÄN</t>
        </is>
      </c>
      <c r="G66" t="inlineStr">
        <is>
          <t>GÖTENE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11771-2024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46218</v>
      </c>
      <c r="F67" t="inlineStr">
        <is>
          <t>VÄSTRA GÖTALANDS LÄN</t>
        </is>
      </c>
      <c r="G67" t="inlineStr">
        <is>
          <t>GÖTENE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45634</v>
      </c>
      <c r="E68" s="1" t="n">
        <v>46218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10451-2024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46218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44645</v>
      </c>
      <c r="E70" s="1" t="n">
        <v>46218</v>
      </c>
      <c r="F70" t="inlineStr">
        <is>
          <t>VÄSTRA GÖTALANDS LÄN</t>
        </is>
      </c>
      <c r="G70" t="inlineStr">
        <is>
          <t>GÖTENE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38251-2021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46218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64712-2023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46218</v>
      </c>
      <c r="F72" t="inlineStr">
        <is>
          <t>VÄSTRA GÖTALANDS LÄN</t>
        </is>
      </c>
      <c r="G72" t="inlineStr">
        <is>
          <t>GÖTENE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12660-2023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45000</v>
      </c>
      <c r="E73" s="1" t="n">
        <v>46218</v>
      </c>
      <c r="F73" t="inlineStr">
        <is>
          <t>VÄSTRA GÖTALANDS LÄN</t>
        </is>
      </c>
      <c r="G73" t="inlineStr">
        <is>
          <t>GÖTENE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22055-2023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45069</v>
      </c>
      <c r="E74" s="1" t="n">
        <v>46218</v>
      </c>
      <c r="F74" t="inlineStr">
        <is>
          <t>VÄSTRA GÖTALANDS LÄN</t>
        </is>
      </c>
      <c r="G74" t="inlineStr">
        <is>
          <t>GÖTENE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10596-2024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46218</v>
      </c>
      <c r="F75" t="inlineStr">
        <is>
          <t>VÄSTRA GÖTALANDS LÄN</t>
        </is>
      </c>
      <c r="G75" t="inlineStr">
        <is>
          <t>GÖTENE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39081-2022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46218</v>
      </c>
      <c r="F76" t="inlineStr">
        <is>
          <t>VÄSTRA GÖTALANDS LÄN</t>
        </is>
      </c>
      <c r="G76" t="inlineStr">
        <is>
          <t>GÖTENE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49700-2021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46218</v>
      </c>
      <c r="F77" t="inlineStr">
        <is>
          <t>VÄSTRA GÖTALANDS LÄN</t>
        </is>
      </c>
      <c r="G77" t="inlineStr">
        <is>
          <t>GÖTENE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61294-2024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46218</v>
      </c>
      <c r="F78" t="inlineStr">
        <is>
          <t>VÄSTRA GÖTALANDS LÄN</t>
        </is>
      </c>
      <c r="G78" t="inlineStr">
        <is>
          <t>GÖTENE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13276-2024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46218</v>
      </c>
      <c r="F79" t="inlineStr">
        <is>
          <t>VÄSTRA GÖTALANDS LÄN</t>
        </is>
      </c>
      <c r="G79" t="inlineStr">
        <is>
          <t>GÖTENE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46218</v>
      </c>
      <c r="F80" t="inlineStr">
        <is>
          <t>VÄSTRA GÖTALANDS LÄN</t>
        </is>
      </c>
      <c r="G80" t="inlineStr">
        <is>
          <t>GÖTENE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62402-2023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46218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44931</v>
      </c>
      <c r="E82" s="1" t="n">
        <v>46218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46218</v>
      </c>
      <c r="F83" t="inlineStr">
        <is>
          <t>VÄSTRA GÖTALANDS LÄN</t>
        </is>
      </c>
      <c r="G83" t="inlineStr">
        <is>
          <t>GÖTENE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28268-2023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46218</v>
      </c>
      <c r="F84" t="inlineStr">
        <is>
          <t>VÄSTRA GÖTALANDS LÄN</t>
        </is>
      </c>
      <c r="G84" t="inlineStr">
        <is>
          <t>GÖTENE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46954-2025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46218</v>
      </c>
      <c r="F85" t="inlineStr">
        <is>
          <t>VÄSTRA GÖTALANDS LÄN</t>
        </is>
      </c>
      <c r="G85" t="inlineStr">
        <is>
          <t>GÖTENE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44931</v>
      </c>
      <c r="E86" s="1" t="n">
        <v>46218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55764-2024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46218</v>
      </c>
      <c r="F87" t="inlineStr">
        <is>
          <t>VÄSTRA GÖTALANDS LÄN</t>
        </is>
      </c>
      <c r="G87" t="inlineStr">
        <is>
          <t>GÖTENE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46218</v>
      </c>
      <c r="F88" t="inlineStr">
        <is>
          <t>VÄSTRA GÖTALANDS LÄN</t>
        </is>
      </c>
      <c r="G88" t="inlineStr">
        <is>
          <t>GÖTENE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46218</v>
      </c>
      <c r="F89" t="inlineStr">
        <is>
          <t>VÄSTRA GÖTALANDS LÄN</t>
        </is>
      </c>
      <c r="G89" t="inlineStr">
        <is>
          <t>GÖTENE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28332-2023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46218</v>
      </c>
      <c r="F90" t="inlineStr">
        <is>
          <t>VÄSTRA GÖTALANDS LÄN</t>
        </is>
      </c>
      <c r="G90" t="inlineStr">
        <is>
          <t>GÖTENE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47383-2025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46218</v>
      </c>
      <c r="F91" t="inlineStr">
        <is>
          <t>VÄSTRA GÖTALANDS LÄN</t>
        </is>
      </c>
      <c r="G91" t="inlineStr">
        <is>
          <t>GÖTENE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46218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47388-2025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46218</v>
      </c>
      <c r="F93" t="inlineStr">
        <is>
          <t>VÄSTRA GÖTALANDS LÄN</t>
        </is>
      </c>
      <c r="G93" t="inlineStr">
        <is>
          <t>GÖTENE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47389-2025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46218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41721-2022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44827</v>
      </c>
      <c r="E95" s="1" t="n">
        <v>46218</v>
      </c>
      <c r="F95" t="inlineStr">
        <is>
          <t>VÄSTRA GÖTALANDS LÄN</t>
        </is>
      </c>
      <c r="G95" t="inlineStr">
        <is>
          <t>GÖTENE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19674-2023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46218</v>
      </c>
      <c r="F96" t="inlineStr">
        <is>
          <t>VÄSTRA GÖTALANDS LÄN</t>
        </is>
      </c>
      <c r="G96" t="inlineStr">
        <is>
          <t>GÖTENE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46218</v>
      </c>
      <c r="F97" t="inlineStr">
        <is>
          <t>VÄSTRA GÖTALANDS LÄN</t>
        </is>
      </c>
      <c r="G97" t="inlineStr">
        <is>
          <t>GÖTENE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31917-2022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44777</v>
      </c>
      <c r="E98" s="1" t="n">
        <v>46218</v>
      </c>
      <c r="F98" t="inlineStr">
        <is>
          <t>VÄSTRA GÖTALANDS LÄN</t>
        </is>
      </c>
      <c r="G98" t="inlineStr">
        <is>
          <t>GÖTENE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19683-2023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45051</v>
      </c>
      <c r="E99" s="1" t="n">
        <v>46218</v>
      </c>
      <c r="F99" t="inlineStr">
        <is>
          <t>VÄSTRA GÖTALANDS LÄN</t>
        </is>
      </c>
      <c r="G99" t="inlineStr">
        <is>
          <t>GÖTENE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72879-2021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44547</v>
      </c>
      <c r="E100" s="1" t="n">
        <v>46218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11889-2024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45376</v>
      </c>
      <c r="E101" s="1" t="n">
        <v>46218</v>
      </c>
      <c r="F101" t="inlineStr">
        <is>
          <t>VÄSTRA GÖTALANDS LÄN</t>
        </is>
      </c>
      <c r="G101" t="inlineStr">
        <is>
          <t>GÖTENE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46218</v>
      </c>
      <c r="F102" t="inlineStr">
        <is>
          <t>VÄSTRA GÖTALANDS LÄN</t>
        </is>
      </c>
      <c r="G102" t="inlineStr">
        <is>
          <t>GÖTENE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11773-2024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45373</v>
      </c>
      <c r="E103" s="1" t="n">
        <v>46218</v>
      </c>
      <c r="F103" t="inlineStr">
        <is>
          <t>VÄSTRA GÖTALANDS LÄN</t>
        </is>
      </c>
      <c r="G103" t="inlineStr">
        <is>
          <t>GÖTENE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28267-2023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46218</v>
      </c>
      <c r="F104" t="inlineStr">
        <is>
          <t>VÄSTRA GÖTALANDS LÄN</t>
        </is>
      </c>
      <c r="G104" t="inlineStr">
        <is>
          <t>GÖTENE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8765-2022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46218</v>
      </c>
      <c r="F105" t="inlineStr">
        <is>
          <t>VÄSTRA GÖTALANDS LÄN</t>
        </is>
      </c>
      <c r="G105" t="inlineStr">
        <is>
          <t>GÖTENE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45224</v>
      </c>
      <c r="E106" s="1" t="n">
        <v>46218</v>
      </c>
      <c r="F106" t="inlineStr">
        <is>
          <t>VÄSTRA GÖTALANDS LÄN</t>
        </is>
      </c>
      <c r="G106" t="inlineStr">
        <is>
          <t>GÖTENE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21285-2024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46218</v>
      </c>
      <c r="F107" t="inlineStr">
        <is>
          <t>VÄSTRA GÖTALANDS LÄN</t>
        </is>
      </c>
      <c r="G107" t="inlineStr">
        <is>
          <t>GÖTENE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62510-2022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46218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Övriga Aktiebolag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17010-2022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44676</v>
      </c>
      <c r="E109" s="1" t="n">
        <v>46218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61021-2022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44914</v>
      </c>
      <c r="E110" s="1" t="n">
        <v>46218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46218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28316-2024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45477</v>
      </c>
      <c r="E112" s="1" t="n">
        <v>46218</v>
      </c>
      <c r="F112" t="inlineStr">
        <is>
          <t>VÄSTRA GÖTALANDS LÄN</t>
        </is>
      </c>
      <c r="G112" t="inlineStr">
        <is>
          <t>GÖTENE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30205-2023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46218</v>
      </c>
      <c r="F113" t="inlineStr">
        <is>
          <t>VÄSTRA GÖTALANDS LÄN</t>
        </is>
      </c>
      <c r="G113" t="inlineStr">
        <is>
          <t>GÖTENE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21269-2024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46218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12664-2023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46218</v>
      </c>
      <c r="F115" t="inlineStr">
        <is>
          <t>VÄSTRA GÖTALANDS LÄN</t>
        </is>
      </c>
      <c r="G115" t="inlineStr">
        <is>
          <t>GÖTENE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45758</v>
      </c>
      <c r="E116" s="1" t="n">
        <v>46218</v>
      </c>
      <c r="F116" t="inlineStr">
        <is>
          <t>VÄSTRA GÖTALANDS LÄN</t>
        </is>
      </c>
      <c r="G116" t="inlineStr">
        <is>
          <t>GÖTENE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35202-2024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46218</v>
      </c>
      <c r="F117" t="inlineStr">
        <is>
          <t>VÄSTRA GÖTALANDS LÄN</t>
        </is>
      </c>
      <c r="G117" t="inlineStr">
        <is>
          <t>GÖTENE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22278-2024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46218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16341-2025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45751</v>
      </c>
      <c r="E119" s="1" t="n">
        <v>46218</v>
      </c>
      <c r="F119" t="inlineStr">
        <is>
          <t>VÄSTRA GÖTALANDS LÄN</t>
        </is>
      </c>
      <c r="G119" t="inlineStr">
        <is>
          <t>GÖTENE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46218</v>
      </c>
      <c r="F120" t="inlineStr">
        <is>
          <t>VÄSTRA GÖTALANDS LÄN</t>
        </is>
      </c>
      <c r="G120" t="inlineStr">
        <is>
          <t>GÖTENE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13170-2024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46218</v>
      </c>
      <c r="F121" t="inlineStr">
        <is>
          <t>VÄSTRA GÖTALANDS LÄN</t>
        </is>
      </c>
      <c r="G121" t="inlineStr">
        <is>
          <t>GÖTENE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46218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17069-2023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46218</v>
      </c>
      <c r="F123" t="inlineStr">
        <is>
          <t>VÄSTRA GÖTALANDS LÄN</t>
        </is>
      </c>
      <c r="G123" t="inlineStr">
        <is>
          <t>GÖTENE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25434-2025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46218</v>
      </c>
      <c r="F124" t="inlineStr">
        <is>
          <t>VÄSTRA GÖTALANDS LÄN</t>
        </is>
      </c>
      <c r="G124" t="inlineStr">
        <is>
          <t>GÖTENE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25435-2025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46218</v>
      </c>
      <c r="F125" t="inlineStr">
        <is>
          <t>VÄSTRA GÖTALANDS LÄN</t>
        </is>
      </c>
      <c r="G125" t="inlineStr">
        <is>
          <t>GÖTENE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46218</v>
      </c>
      <c r="F126" t="inlineStr">
        <is>
          <t>VÄSTRA GÖTALANDS LÄN</t>
        </is>
      </c>
      <c r="G126" t="inlineStr">
        <is>
          <t>GÖTENE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46218</v>
      </c>
      <c r="F127" t="inlineStr">
        <is>
          <t>VÄSTRA GÖTALANDS LÄN</t>
        </is>
      </c>
      <c r="G127" t="inlineStr">
        <is>
          <t>GÖTENE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26105-2025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45805</v>
      </c>
      <c r="E128" s="1" t="n">
        <v>46218</v>
      </c>
      <c r="F128" t="inlineStr">
        <is>
          <t>VÄSTRA GÖTALANDS LÄN</t>
        </is>
      </c>
      <c r="G128" t="inlineStr">
        <is>
          <t>GÖTENE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46218</v>
      </c>
      <c r="F129" t="inlineStr">
        <is>
          <t>VÄSTRA GÖTALANDS LÄN</t>
        </is>
      </c>
      <c r="G129" t="inlineStr">
        <is>
          <t>GÖTENE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46218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Övriga Aktiebolag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10703-2025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45722</v>
      </c>
      <c r="E131" s="1" t="n">
        <v>46218</v>
      </c>
      <c r="F131" t="inlineStr">
        <is>
          <t>VÄSTRA GÖTALANDS LÄN</t>
        </is>
      </c>
      <c r="G131" t="inlineStr">
        <is>
          <t>GÖTENE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10958-2022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46218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45239-2022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46218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15426-2025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46218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15442-2025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46218</v>
      </c>
      <c r="F135" t="inlineStr">
        <is>
          <t>VÄSTRA GÖTALANDS LÄN</t>
        </is>
      </c>
      <c r="G135" t="inlineStr">
        <is>
          <t>GÖTENE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56365-2025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46218</v>
      </c>
      <c r="F136" t="inlineStr">
        <is>
          <t>VÄSTRA GÖTALANDS LÄN</t>
        </is>
      </c>
      <c r="G136" t="inlineStr">
        <is>
          <t>GÖTENE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56347-2025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46218</v>
      </c>
      <c r="F137" t="inlineStr">
        <is>
          <t>VÄSTRA GÖTALANDS LÄN</t>
        </is>
      </c>
      <c r="G137" t="inlineStr">
        <is>
          <t>GÖTENE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46218</v>
      </c>
      <c r="F138" t="inlineStr">
        <is>
          <t>VÄSTRA GÖTALANDS LÄN</t>
        </is>
      </c>
      <c r="G138" t="inlineStr">
        <is>
          <t>GÖTENE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56414-2025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46218</v>
      </c>
      <c r="F139" t="inlineStr">
        <is>
          <t>VÄSTRA GÖTALANDS LÄN</t>
        </is>
      </c>
      <c r="G139" t="inlineStr">
        <is>
          <t>GÖTENE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56340-2025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46218</v>
      </c>
      <c r="F140" t="inlineStr">
        <is>
          <t>VÄSTRA GÖTALANDS LÄN</t>
        </is>
      </c>
      <c r="G140" t="inlineStr">
        <is>
          <t>GÖTENE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56417-2025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46218</v>
      </c>
      <c r="F141" t="inlineStr">
        <is>
          <t>VÄSTRA GÖTALANDS LÄN</t>
        </is>
      </c>
      <c r="G141" t="inlineStr">
        <is>
          <t>GÖTENE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56367-2025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46218</v>
      </c>
      <c r="F142" t="inlineStr">
        <is>
          <t>VÄSTRA GÖTALANDS LÄN</t>
        </is>
      </c>
      <c r="G142" t="inlineStr">
        <is>
          <t>GÖTENE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45180-2024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46218</v>
      </c>
      <c r="F143" t="inlineStr">
        <is>
          <t>VÄSTRA GÖTALANDS LÄN</t>
        </is>
      </c>
      <c r="G143" t="inlineStr">
        <is>
          <t>GÖTENE</t>
        </is>
      </c>
      <c r="I143" t="n">
        <v>14.7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56346-2025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46218</v>
      </c>
      <c r="F144" t="inlineStr">
        <is>
          <t>VÄSTRA GÖTALANDS LÄN</t>
        </is>
      </c>
      <c r="G144" t="inlineStr">
        <is>
          <t>GÖTENE</t>
        </is>
      </c>
      <c r="I144" t="n">
        <v>18.8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56350-2025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46218</v>
      </c>
      <c r="F145" t="inlineStr">
        <is>
          <t>VÄSTRA GÖTALANDS LÄN</t>
        </is>
      </c>
      <c r="G145" t="inlineStr">
        <is>
          <t>GÖTENE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14502-2023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46218</v>
      </c>
      <c r="F146" t="inlineStr">
        <is>
          <t>VÄSTRA GÖTALANDS LÄN</t>
        </is>
      </c>
      <c r="G146" t="inlineStr">
        <is>
          <t>GÖTENE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46218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Övriga Aktiebolag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46218</v>
      </c>
      <c r="F148" t="inlineStr">
        <is>
          <t>VÄSTRA GÖTALANDS LÄN</t>
        </is>
      </c>
      <c r="G148" t="inlineStr">
        <is>
          <t>GÖTENE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13348-2022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46218</v>
      </c>
      <c r="F149" t="inlineStr">
        <is>
          <t>VÄSTRA GÖTALANDS LÄN</t>
        </is>
      </c>
      <c r="G149" t="inlineStr">
        <is>
          <t>GÖTENE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13366-2022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44645</v>
      </c>
      <c r="E150" s="1" t="n">
        <v>46218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15646-2023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46218</v>
      </c>
      <c r="F151" t="inlineStr">
        <is>
          <t>VÄSTRA GÖTALANDS LÄN</t>
        </is>
      </c>
      <c r="G151" t="inlineStr">
        <is>
          <t>GÖTENE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58517-2025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46218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58520-2025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46218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9607-2024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45361</v>
      </c>
      <c r="E154" s="1" t="n">
        <v>46218</v>
      </c>
      <c r="F154" t="inlineStr">
        <is>
          <t>VÄSTRA GÖTALANDS LÄN</t>
        </is>
      </c>
      <c r="G154" t="inlineStr">
        <is>
          <t>GÖTENE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30174-2022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44757</v>
      </c>
      <c r="E155" s="1" t="n">
        <v>46218</v>
      </c>
      <c r="F155" t="inlineStr">
        <is>
          <t>VÄSTRA GÖTALANDS LÄN</t>
        </is>
      </c>
      <c r="G155" t="inlineStr">
        <is>
          <t>GÖTENE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46218</v>
      </c>
      <c r="F156" t="inlineStr">
        <is>
          <t>VÄSTRA GÖTALANDS LÄN</t>
        </is>
      </c>
      <c r="G156" t="inlineStr">
        <is>
          <t>GÖTENE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58766-2025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46218</v>
      </c>
      <c r="F157" t="inlineStr">
        <is>
          <t>VÄSTRA GÖTALANDS LÄN</t>
        </is>
      </c>
      <c r="G157" t="inlineStr">
        <is>
          <t>GÖTENE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34161-2025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45845</v>
      </c>
      <c r="E158" s="1" t="n">
        <v>46218</v>
      </c>
      <c r="F158" t="inlineStr">
        <is>
          <t>VÄSTRA GÖTALANDS LÄN</t>
        </is>
      </c>
      <c r="G158" t="inlineStr">
        <is>
          <t>GÖTENE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32967-2025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46218</v>
      </c>
      <c r="F159" t="inlineStr">
        <is>
          <t>VÄSTRA GÖTALANDS LÄN</t>
        </is>
      </c>
      <c r="G159" t="inlineStr">
        <is>
          <t>GÖTENE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12450-2022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46218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58767-2025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46218</v>
      </c>
      <c r="F161" t="inlineStr">
        <is>
          <t>VÄSTRA GÖTALANDS LÄN</t>
        </is>
      </c>
      <c r="G161" t="inlineStr">
        <is>
          <t>GÖTENE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21429-2022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44706</v>
      </c>
      <c r="E162" s="1" t="n">
        <v>46218</v>
      </c>
      <c r="F162" t="inlineStr">
        <is>
          <t>VÄSTRA GÖTALANDS LÄN</t>
        </is>
      </c>
      <c r="G162" t="inlineStr">
        <is>
          <t>GÖTENE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6925-2023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44967</v>
      </c>
      <c r="E163" s="1" t="n">
        <v>46218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46218</v>
      </c>
      <c r="F164" t="inlineStr">
        <is>
          <t>VÄSTRA GÖTALANDS LÄN</t>
        </is>
      </c>
      <c r="G164" t="inlineStr">
        <is>
          <t>GÖTENE</t>
        </is>
      </c>
      <c r="I164" t="n">
        <v>19.7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58236-2024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46218</v>
      </c>
      <c r="F165" t="inlineStr">
        <is>
          <t>VÄSTRA GÖTALANDS LÄN</t>
        </is>
      </c>
      <c r="G165" t="inlineStr">
        <is>
          <t>GÖTENE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58691-2024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46218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Kyrkan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13279-2024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45386</v>
      </c>
      <c r="E167" s="1" t="n">
        <v>46218</v>
      </c>
      <c r="F167" t="inlineStr">
        <is>
          <t>VÄSTRA GÖTALANDS LÄN</t>
        </is>
      </c>
      <c r="G167" t="inlineStr">
        <is>
          <t>GÖTENE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49256-2023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46218</v>
      </c>
      <c r="F168" t="inlineStr">
        <is>
          <t>VÄSTRA GÖTALANDS LÄN</t>
        </is>
      </c>
      <c r="G168" t="inlineStr">
        <is>
          <t>GÖTENE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20507-2026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46218</v>
      </c>
      <c r="F169" t="inlineStr">
        <is>
          <t>VÄSTRA GÖTALANDS LÄN</t>
        </is>
      </c>
      <c r="G169" t="inlineStr">
        <is>
          <t>GÖTENE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25594-2025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45803</v>
      </c>
      <c r="E170" s="1" t="n">
        <v>46218</v>
      </c>
      <c r="F170" t="inlineStr">
        <is>
          <t>VÄSTRA GÖTALANDS LÄN</t>
        </is>
      </c>
      <c r="G170" t="inlineStr">
        <is>
          <t>GÖTENE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13450-2025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46218</v>
      </c>
      <c r="F171" t="inlineStr">
        <is>
          <t>VÄSTRA GÖTALANDS LÄN</t>
        </is>
      </c>
      <c r="G171" t="inlineStr">
        <is>
          <t>GÖTENE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46218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31978-2023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46218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26338-2026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46218</v>
      </c>
      <c r="F174" t="inlineStr">
        <is>
          <t>VÄSTRA GÖTALANDS LÄN</t>
        </is>
      </c>
      <c r="G174" t="inlineStr">
        <is>
          <t>GÖTENE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20710-2026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46218</v>
      </c>
      <c r="F175" t="inlineStr">
        <is>
          <t>VÄSTRA GÖTALANDS LÄN</t>
        </is>
      </c>
      <c r="G175" t="inlineStr">
        <is>
          <t>GÖTENE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46218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46218</v>
      </c>
      <c r="F177" t="inlineStr">
        <is>
          <t>VÄSTRA GÖTALANDS LÄN</t>
        </is>
      </c>
      <c r="G177" t="inlineStr">
        <is>
          <t>GÖTENE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20811-2026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46218</v>
      </c>
      <c r="F178" t="inlineStr">
        <is>
          <t>VÄSTRA GÖTALANDS LÄN</t>
        </is>
      </c>
      <c r="G178" t="inlineStr">
        <is>
          <t>GÖTENE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45518</v>
      </c>
      <c r="E179" s="1" t="n">
        <v>46218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60559-2025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45995</v>
      </c>
      <c r="E180" s="1" t="n">
        <v>46218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20812-2026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46218</v>
      </c>
      <c r="F181" t="inlineStr">
        <is>
          <t>VÄSTRA GÖTALANDS LÄN</t>
        </is>
      </c>
      <c r="G181" t="inlineStr">
        <is>
          <t>GÖTENE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20700-2026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46218</v>
      </c>
      <c r="F182" t="inlineStr">
        <is>
          <t>VÄSTRA GÖTALANDS LÄN</t>
        </is>
      </c>
      <c r="G182" t="inlineStr">
        <is>
          <t>GÖTENE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36472-2023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45152</v>
      </c>
      <c r="E183" s="1" t="n">
        <v>46218</v>
      </c>
      <c r="F183" t="inlineStr">
        <is>
          <t>VÄSTRA GÖTALANDS LÄN</t>
        </is>
      </c>
      <c r="G183" t="inlineStr">
        <is>
          <t>GÖTENE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46218</v>
      </c>
      <c r="F184" t="inlineStr">
        <is>
          <t>VÄSTRA GÖTALANDS LÄN</t>
        </is>
      </c>
      <c r="G184" t="inlineStr">
        <is>
          <t>GÖTENE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21369-2026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46147</v>
      </c>
      <c r="E185" s="1" t="n">
        <v>46218</v>
      </c>
      <c r="F185" t="inlineStr">
        <is>
          <t>VÄSTRA GÖTALANDS LÄN</t>
        </is>
      </c>
      <c r="G185" t="inlineStr">
        <is>
          <t>GÖTENE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7225-2023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44970</v>
      </c>
      <c r="E186" s="1" t="n">
        <v>46218</v>
      </c>
      <c r="F186" t="inlineStr">
        <is>
          <t>VÄSTRA GÖTALANDS LÄN</t>
        </is>
      </c>
      <c r="G186" t="inlineStr">
        <is>
          <t>GÖTENE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46218</v>
      </c>
      <c r="F187" t="inlineStr">
        <is>
          <t>VÄSTRA GÖTALANDS LÄN</t>
        </is>
      </c>
      <c r="G187" t="inlineStr">
        <is>
          <t>GÖTENE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35408-2023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46218</v>
      </c>
      <c r="F188" t="inlineStr">
        <is>
          <t>VÄSTRA GÖTALANDS LÄN</t>
        </is>
      </c>
      <c r="G188" t="inlineStr">
        <is>
          <t>GÖTENE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13280-2024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46218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46218</v>
      </c>
      <c r="F190" t="inlineStr">
        <is>
          <t>VÄSTRA GÖTALANDS LÄN</t>
        </is>
      </c>
      <c r="G190" t="inlineStr">
        <is>
          <t>GÖTENE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55511-2023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46218</v>
      </c>
      <c r="F191" t="inlineStr">
        <is>
          <t>VÄSTRA GÖTALANDS LÄN</t>
        </is>
      </c>
      <c r="G191" t="inlineStr">
        <is>
          <t>GÖTENE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28258-2023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46218</v>
      </c>
      <c r="F192" t="inlineStr">
        <is>
          <t>VÄSTRA GÖTALANDS LÄN</t>
        </is>
      </c>
      <c r="G192" t="inlineStr">
        <is>
          <t>GÖTENE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46218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46218</v>
      </c>
      <c r="F194" t="inlineStr">
        <is>
          <t>VÄSTRA GÖTALANDS LÄN</t>
        </is>
      </c>
      <c r="G194" t="inlineStr">
        <is>
          <t>GÖTENE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46218</v>
      </c>
      <c r="F195" t="inlineStr">
        <is>
          <t>VÄSTRA GÖTALANDS LÄN</t>
        </is>
      </c>
      <c r="G195" t="inlineStr">
        <is>
          <t>GÖTENE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28467-2026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46218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28647-2026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46218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46218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Övriga Aktiebolag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28335-2023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46218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13281-2024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46218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46218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46218</v>
      </c>
      <c r="F202" t="inlineStr">
        <is>
          <t>VÄSTRA GÖTALANDS LÄN</t>
        </is>
      </c>
      <c r="G202" t="inlineStr">
        <is>
          <t>GÖTENE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45152</v>
      </c>
      <c r="E203" s="1" t="n">
        <v>46218</v>
      </c>
      <c r="F203" t="inlineStr">
        <is>
          <t>VÄSTRA GÖTALANDS LÄN</t>
        </is>
      </c>
      <c r="G203" t="inlineStr">
        <is>
          <t>GÖTENE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49536-2021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46218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Övriga Aktiebolag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46218</v>
      </c>
      <c r="F205" t="inlineStr">
        <is>
          <t>VÄSTRA GÖTALANDS LÄN</t>
        </is>
      </c>
      <c r="G205" t="inlineStr">
        <is>
          <t>GÖTENE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46218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46218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46218</v>
      </c>
      <c r="F208" t="inlineStr">
        <is>
          <t>VÄSTRA GÖTALANDS LÄN</t>
        </is>
      </c>
      <c r="G208" t="inlineStr">
        <is>
          <t>GÖTENE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59074-2023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46218</v>
      </c>
      <c r="F209" t="inlineStr">
        <is>
          <t>VÄSTRA GÖTALANDS LÄN</t>
        </is>
      </c>
      <c r="G209" t="inlineStr">
        <is>
          <t>GÖTENE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30191-2026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46218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Sveaskog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10625-2026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46218</v>
      </c>
      <c r="F211" t="inlineStr">
        <is>
          <t>VÄSTRA GÖTALANDS LÄN</t>
        </is>
      </c>
      <c r="G211" t="inlineStr">
        <is>
          <t>GÖTENE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10634-2026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46218</v>
      </c>
      <c r="F212" t="inlineStr">
        <is>
          <t>VÄSTRA GÖTALANDS LÄN</t>
        </is>
      </c>
      <c r="G212" t="inlineStr">
        <is>
          <t>GÖTENE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10635-2026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46218</v>
      </c>
      <c r="F213" t="inlineStr">
        <is>
          <t>VÄSTRA GÖTALANDS LÄN</t>
        </is>
      </c>
      <c r="G213" t="inlineStr">
        <is>
          <t>GÖTENE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10628-2026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46218</v>
      </c>
      <c r="F214" t="inlineStr">
        <is>
          <t>VÄSTRA GÖTALANDS LÄN</t>
        </is>
      </c>
      <c r="G214" t="inlineStr">
        <is>
          <t>GÖTENE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10633-2026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46218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46218</v>
      </c>
      <c r="F216" t="inlineStr">
        <is>
          <t>VÄSTRA GÖTALANDS LÄN</t>
        </is>
      </c>
      <c r="G216" t="inlineStr">
        <is>
          <t>GÖTENE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10630-2026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46218</v>
      </c>
      <c r="F217" t="inlineStr">
        <is>
          <t>VÄSTRA GÖTALANDS LÄN</t>
        </is>
      </c>
      <c r="G217" t="inlineStr">
        <is>
          <t>GÖTENE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10636-2026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46218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10637-2026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46218</v>
      </c>
      <c r="F219" t="inlineStr">
        <is>
          <t>VÄSTRA GÖTALANDS LÄN</t>
        </is>
      </c>
      <c r="G219" t="inlineStr">
        <is>
          <t>GÖTENE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46218</v>
      </c>
      <c r="F220" t="inlineStr">
        <is>
          <t>VÄSTRA GÖTALANDS LÄN</t>
        </is>
      </c>
      <c r="G220" t="inlineStr">
        <is>
          <t>GÖTENE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46218</v>
      </c>
      <c r="F221" t="inlineStr">
        <is>
          <t>VÄSTRA GÖTALANDS LÄN</t>
        </is>
      </c>
      <c r="G221" t="inlineStr">
        <is>
          <t>GÖTENE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46218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17789-2026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46218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18776-2026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46218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25777-2026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46178</v>
      </c>
      <c r="E225" s="1" t="n">
        <v>46218</v>
      </c>
      <c r="F225" t="inlineStr">
        <is>
          <t>VÄSTRA GÖTALANDS LÄN</t>
        </is>
      </c>
      <c r="G225" t="inlineStr">
        <is>
          <t>GÖTENE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45013-2025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46218</v>
      </c>
      <c r="F226" t="inlineStr">
        <is>
          <t>VÄSTRA GÖTALANDS LÄN</t>
        </is>
      </c>
      <c r="G226" t="inlineStr">
        <is>
          <t>GÖTENE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45670</v>
      </c>
      <c r="E227" s="1" t="n">
        <v>46218</v>
      </c>
      <c r="F227" t="inlineStr">
        <is>
          <t>VÄSTRA GÖTALANDS LÄN</t>
        </is>
      </c>
      <c r="G227" t="inlineStr">
        <is>
          <t>GÖTENE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46218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46218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46218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2026-07-15T01:23:05Z</dcterms:created>
  <dcterms:modified xmlns:dcterms="http://purl.org/dc/terms/" xmlns:xsi="http://www.w3.org/2001/XMLSchema-instance" xsi:type="dcterms:W3CDTF">2026-07-15T01:23:05Z</dcterms:modified>
</cp:coreProperties>
</file>